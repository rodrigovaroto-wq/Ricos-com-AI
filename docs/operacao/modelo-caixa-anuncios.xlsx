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Premissas" sheetId="2" state="visible" r:id="rId4"/>
    <sheet name="Unitário" sheetId="3" state="visible" r:id="rId5"/>
    <sheet name="Fluxo diário" sheetId="4" state="visible" r:id="rId6"/>
    <sheet name="Perguntas" sheetId="5" state="visible" r:id="rId7"/>
    <sheet name="Docs x Fontes" sheetId="6" state="visible" r:id="rId8"/>
    <sheet name="Taxas antecipada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<sst xmlns="http://schemas.openxmlformats.org/spreadsheetml/2006/main" count="526" uniqueCount="418">
  <si>
    <t xml:space="preserve">Resumo — caixa necessário para o teste de anúncios</t>
  </si>
  <si>
    <t xml:space="preserve">Tudo calculado a partir da aba Premissas. Mude lá; esta aba recalcula.</t>
  </si>
  <si>
    <t xml:space="preserve">Indicador</t>
  </si>
  <si>
    <t xml:space="preserve">Valor</t>
  </si>
  <si>
    <t xml:space="preserve">Como ler</t>
  </si>
  <si>
    <t xml:space="preserve">Verba total de anúncios (sem imposto, como no Ads Manager)</t>
  </si>
  <si>
    <t xml:space="preserve">fase 1 + fase 2</t>
  </si>
  <si>
    <t xml:space="preserve">Pedidos criados no período</t>
  </si>
  <si>
    <t xml:space="preserve">leads × conversão</t>
  </si>
  <si>
    <t xml:space="preserve">   dos quais COD / antecipado</t>
  </si>
  <si>
    <t xml:space="preserve">Faturamento bruto dos pedidos criados</t>
  </si>
  <si>
    <t xml:space="preserve">antes de recusa/devolução</t>
  </si>
  <si>
    <t xml:space="preserve">PICO DE CAIXA NECESSÁRIO (anúncio pago na fatura)</t>
  </si>
  <si>
    <t xml:space="preserve">produto + taxas antes do repasse; anúncio, IA, fixos e saque só no vencimento da fatura</t>
  </si>
  <si>
    <t xml:space="preserve">   dia em que o pico acontece</t>
  </si>
  <si>
    <t xml:space="preserve">contado do 1º dia de anúncio</t>
  </si>
  <si>
    <t xml:space="preserve">   dia em que o caixa volta a zero</t>
  </si>
  <si>
    <t xml:space="preserve">break-even de caixa acumulado</t>
  </si>
  <si>
    <t xml:space="preserve">Pico se o anúncio fosse pago no dia do gasto</t>
  </si>
  <si>
    <t xml:space="preserve">referência: sem o prazo da fatura</t>
  </si>
  <si>
    <t xml:space="preserve">Caixa disponível − margem de segurança</t>
  </si>
  <si>
    <t xml:space="preserve">o que você pode usar de fato</t>
  </si>
  <si>
    <t xml:space="preserve">SOBRA / (FALTA) DE CAIXA</t>
  </si>
  <si>
    <t xml:space="preserve">positivo = o caixa cobre o pico</t>
  </si>
  <si>
    <t xml:space="preserve">Caixa acumulado no dia 90</t>
  </si>
  <si>
    <t xml:space="preserve">lucro de caixa realizado (parte ainda a receber)</t>
  </si>
  <si>
    <t xml:space="preserve">Lucro esperado por venda (mix 70/30)</t>
  </si>
  <si>
    <t xml:space="preserve">em regime, depois de recusa/devolução/lead/IA</t>
  </si>
  <si>
    <t xml:space="preserve">Escala máxima do teste com este caixa</t>
  </si>
  <si>
    <t xml:space="preserve">múltiplo da verba, mesmo perfil</t>
  </si>
  <si>
    <t xml:space="preserve">Fatura da Meta com o imposto repassado</t>
  </si>
  <si>
    <t xml:space="preserve">o que o cartão realmente cobra pela verba</t>
  </si>
  <si>
    <t xml:space="preserve">Leads no teste</t>
  </si>
  <si>
    <t xml:space="preserve">verba ÷ CPL</t>
  </si>
  <si>
    <t xml:space="preserve">Piso de amostra (mais de 500 leads e 50 pedidos)</t>
  </si>
  <si>
    <t xml:space="preserve">L3 item 4, assinado em 02/10</t>
  </si>
  <si>
    <t xml:space="preserve">Gasto antecipado e tempo até virar caixa — por caminho</t>
  </si>
  <si>
    <t xml:space="preserve">Por pedido criado (R$)</t>
  </si>
  <si>
    <t xml:space="preserve">Pagamento na entrega (COD)</t>
  </si>
  <si>
    <t xml:space="preserve">Pagamento antecipado</t>
  </si>
  <si>
    <t xml:space="preserve">Anúncio + IA + WhatsApp até o pedido</t>
  </si>
  <si>
    <t xml:space="preserve">o anúncio só sai do caixa no vencimento da fatura; IA/WhatsApp no dia 1</t>
  </si>
  <si>
    <t xml:space="preserve">Produto adiantado</t>
  </si>
  <si>
    <t xml:space="preserve">sai no dia do pedido</t>
  </si>
  <si>
    <t xml:space="preserve">Taxas adiantadas (logística + transação)</t>
  </si>
  <si>
    <t xml:space="preserve">COD: logística + transação; antec.: manuseio (tudo do saldo de expedição)</t>
  </si>
  <si>
    <t xml:space="preserve">Estorno do que não foi entregue, já líquido da taxa de recusa/devolução</t>
  </si>
  <si>
    <t xml:space="preserve">volta no dia da tentativa / da devolução</t>
  </si>
  <si>
    <t xml:space="preserve">Total de caixa gasto antes do dinheiro entrar (sem anúncio)</t>
  </si>
  <si>
    <t xml:space="preserve">produto + taxas, líquido de estornos</t>
  </si>
  <si>
    <t xml:space="preserve">Dias do pedido até o dinheiro estar disponível</t>
  </si>
  <si>
    <t xml:space="preserve">tempo em que o faturamento vira caixa</t>
  </si>
  <si>
    <t xml:space="preserve">Dinheiro que entra por pedido (líquido de recusa/devolução)</t>
  </si>
  <si>
    <t xml:space="preserve">preço bruto recebido</t>
  </si>
  <si>
    <t xml:space="preserve">Sensibilidade — e se o teste escalar? (mesmo perfil de dias, verba multiplicada)</t>
  </si>
  <si>
    <t xml:space="preserve">Multiplicador da verba</t>
  </si>
  <si>
    <t xml:space="preserve">Verba total</t>
  </si>
  <si>
    <t xml:space="preserve">Pico de caixa necessário</t>
  </si>
  <si>
    <t xml:space="preserve">Falta / sobra com seu caixa</t>
  </si>
  <si>
    <t xml:space="preserve">Aproximação linear: custos fixos (R$ 53,50/mês) não escalam e o dia do vencimento da fatura pode mudar com datas diferentes.</t>
  </si>
  <si>
    <t xml:space="preserve">Premissas — modelo de caixa x verba de anúncios</t>
  </si>
  <si>
    <t xml:space="preserve">Azul = você edita. Amarelo = valor ASSUMIDO por mim, sem confirmação do operador (ver aba Perguntas). Preto = fórmula.</t>
  </si>
  <si>
    <t xml:space="preserve">Item</t>
  </si>
  <si>
    <t xml:space="preserve">Unidade</t>
  </si>
  <si>
    <t xml:space="preserve">Origem / observação</t>
  </si>
  <si>
    <t xml:space="preserve">Anúncios — plano do teste (operador, 09/10)</t>
  </si>
  <si>
    <t xml:space="preserve">Fase 1 — verba total</t>
  </si>
  <si>
    <t xml:space="preserve">R$</t>
  </si>
  <si>
    <t xml:space="preserve">Operador, 09/10: 7 dias a R$ 50/dia (antes R$ 55/dia; antes ainda R$ 375 em 5 dias)</t>
  </si>
  <si>
    <t xml:space="preserve">Fase 1 — dias</t>
  </si>
  <si>
    <t xml:space="preserve">dias</t>
  </si>
  <si>
    <t xml:space="preserve">Operador, 09/10: 7 dias (eram 5)</t>
  </si>
  <si>
    <t xml:space="preserve">Pausa entre as fases</t>
  </si>
  <si>
    <t xml:space="preserve">Operador: 2 dias de respiro</t>
  </si>
  <si>
    <t xml:space="preserve">Fase 2 — verba total</t>
  </si>
  <si>
    <t xml:space="preserve">Operador, 09/10: 7 dias a R$ 50/dia (antes R$ 55/dia; antes ainda R$ 300 em 5 dias)</t>
  </si>
  <si>
    <t xml:space="preserve">Fase 2 — dias</t>
  </si>
  <si>
    <t xml:space="preserve">Data do 1º dia de anúncio</t>
  </si>
  <si>
    <t xml:space="preserve">data</t>
  </si>
  <si>
    <t xml:space="preserve">Operador, 09/10: usar 23/10 para modelar (sexta-feira)</t>
  </si>
  <si>
    <t xml:space="preserve">Fatura do cartão: dia de fechamento</t>
  </si>
  <si>
    <t xml:space="preserve">dia do mês</t>
  </si>
  <si>
    <t xml:space="preserve">Operador, 09/10 (gasto até o dia 22 entra na fatura do mês — confirmar se o dia 22 conta)</t>
  </si>
  <si>
    <t xml:space="preserve">Meta: limite de cobrança no cartão (ou fim do mês)</t>
  </si>
  <si>
    <t xml:space="preserve">Operador, 09/10: o Ads cobra ao bater R$ 100 ou no fim do mês; limite do cartão R$ 4.000</t>
  </si>
  <si>
    <t xml:space="preserve">Meta API (IA): limite de cobrança no cartão (ou fim do mês)</t>
  </si>
  <si>
    <t xml:space="preserve">Operador, 09/10: a API da Meta cobra ao chegar em R$ 20</t>
  </si>
  <si>
    <t xml:space="preserve">Saque do saldo até a conta: dias</t>
  </si>
  <si>
    <t xml:space="preserve">Operador: D+1 a D+2 (usei 2); o saque sai antes do vencimento</t>
  </si>
  <si>
    <t xml:space="preserve">Fatura do cartão: dia de vencimento</t>
  </si>
  <si>
    <t xml:space="preserve">Operador, 09/10</t>
  </si>
  <si>
    <t xml:space="preserve">Imposto que a Meta soma à fatura no Brasil (PIS/Cofins + ISS)</t>
  </si>
  <si>
    <t xml:space="preserve">% sobre a verba</t>
  </si>
  <si>
    <t xml:space="preserve">Comunicado Meta: R$ 100 → R$ 113,83 no cartão. Operador, 09/10: 'deve aparecer' — conferir na 1ª fatura</t>
  </si>
  <si>
    <t xml:space="preserve">Custo por lead (CPL)</t>
  </si>
  <si>
    <t xml:space="preserve">Operador, 02/10 (faixa 1,25–1,50; ponta pessimista)</t>
  </si>
  <si>
    <t xml:space="preserve">Conversão lead → pedido criado</t>
  </si>
  <si>
    <t xml:space="preserve">%</t>
  </si>
  <si>
    <t xml:space="preserve">Operador (limiar de escalar, L3.7)</t>
  </si>
  <si>
    <t xml:space="preserve">Custo de IA por lead</t>
  </si>
  <si>
    <t xml:space="preserve">Medido L0.5 (p50 30/09; p95 R$ 0,546)</t>
  </si>
  <si>
    <t xml:space="preserve">WhatsApp (template pós-venda) por pedido</t>
  </si>
  <si>
    <t xml:space="preserve">Tabela Meta (~US$ 0,0068)</t>
  </si>
  <si>
    <t xml:space="preserve">Mix de vendas</t>
  </si>
  <si>
    <t xml:space="preserve">% dos pedidos em pagamento na entrega (COD)</t>
  </si>
  <si>
    <t xml:space="preserve">Operador (70/30)</t>
  </si>
  <si>
    <t xml:space="preserve">% dos pedidos em pagamento antecipado</t>
  </si>
  <si>
    <t xml:space="preserve">Resultado do pedido</t>
  </si>
  <si>
    <t xml:space="preserve">Recusa na porta (só COD)</t>
  </si>
  <si>
    <t xml:space="preserve">Operador: faixa 12–17%, AINDA NÃO MEDIDA (ponta pessimista)</t>
  </si>
  <si>
    <t xml:space="preserve">Devolução depois de entregue (COD e antecipado) — % dos entregues</t>
  </si>
  <si>
    <t xml:space="preserve">Operador: faixa 5–10% (ponta pessimista). R27, 17/10 (operador): sobre os pedidos entregues</t>
  </si>
  <si>
    <t xml:space="preserve">Custos por pedido (docs 06-modelo-economico, 02/10)</t>
  </si>
  <si>
    <t xml:space="preserve">Produto, por peça</t>
  </si>
  <si>
    <t xml:space="preserve">R$/peça</t>
  </si>
  <si>
    <t xml:space="preserve">Operador</t>
  </si>
  <si>
    <t xml:space="preserve">Taxa de entrega concluída (só COD)</t>
  </si>
  <si>
    <t xml:space="preserve">R$/pedido</t>
  </si>
  <si>
    <t xml:space="preserve">Logzz</t>
  </si>
  <si>
    <t xml:space="preserve">Manuseio</t>
  </si>
  <si>
    <t xml:space="preserve">Central Logzz R$ 5,00 (docs do projeto usavam R$ 4,99) — operador, 09/10</t>
  </si>
  <si>
    <t xml:space="preserve">Transação COD — % da comissão (preço − produto − entrega − manuseio)</t>
  </si>
  <si>
    <t xml:space="preserve">Logzz, 'Taxas, prazos e condições': 6,99% sobre a comissão — R27, 17/10 (operador); antes aplicado ao preço cheio</t>
  </si>
  <si>
    <t xml:space="preserve">Transação COD — fixo</t>
  </si>
  <si>
    <t xml:space="preserve">Logzz/Coinzz</t>
  </si>
  <si>
    <t xml:space="preserve">Mercado Pago Pix — %</t>
  </si>
  <si>
    <t xml:space="preserve">Operador, 25/09</t>
  </si>
  <si>
    <t xml:space="preserve">Mercado Pago Pix — fixo</t>
  </si>
  <si>
    <t xml:space="preserve">Mercado Pago cartão à vista — %</t>
  </si>
  <si>
    <t xml:space="preserve">% do antecipado pago em Pix (resto cartão)</t>
  </si>
  <si>
    <t xml:space="preserve">Premissa P2 do doc</t>
  </si>
  <si>
    <t xml:space="preserve">Entrega frustrada (recusa na porta)</t>
  </si>
  <si>
    <t xml:space="preserve">Central Logzz; operador confirma, 09/10</t>
  </si>
  <si>
    <t xml:space="preserve">Custo TOTAL da recusa (frustrada + manuseio)</t>
  </si>
  <si>
    <t xml:space="preserve">Operador, 09/10: R$ 4,99 + R$ 5,00 = R$ 9,99. Só isso fica com você; o resto da logística volta</t>
  </si>
  <si>
    <t xml:space="preserve">Custo total da devolução — COD (valor fechado)</t>
  </si>
  <si>
    <t xml:space="preserve">R27, 17/10 (operador): frete de volta, manuseio e taxas, tudo junto. Antes: R$ 45 de frete + manuseio + taxas que não voltavam = R$ 86,56</t>
  </si>
  <si>
    <t xml:space="preserve">Custo total da devolução — antecipado (valor fechado)</t>
  </si>
  <si>
    <t xml:space="preserve">R27, 17/10 (operador): já com a taxa do Mercado Pago que não volta. Antes: R$ 58,99</t>
  </si>
  <si>
    <t xml:space="preserve">Impostos sobre faturamento recebido</t>
  </si>
  <si>
    <t xml:space="preserve">Operador: Simples, mas fora desta simulação por ora</t>
  </si>
  <si>
    <t xml:space="preserve">Custos fixos por mês (PikaPods R$ 18,50 + número WhatsApp R$ 35)</t>
  </si>
  <si>
    <t xml:space="preserve">R$/mês</t>
  </si>
  <si>
    <t xml:space="preserve">Operador, 09/10: cobrados no cartão no dia 1; saem do caixa no vencimento da fatura</t>
  </si>
  <si>
    <t xml:space="preserve">Kits (peças por pedido)</t>
  </si>
  <si>
    <t xml:space="preserve">Kit</t>
  </si>
  <si>
    <t xml:space="preserve">Preço COD (R$)</t>
  </si>
  <si>
    <t xml:space="preserve">Preço antecipado (R$)</t>
  </si>
  <si>
    <t xml:space="preserve">% dos pedidos</t>
  </si>
  <si>
    <t xml:space="preserve">1 peça(s)</t>
  </si>
  <si>
    <t xml:space="preserve">2 peça(s)</t>
  </si>
  <si>
    <t xml:space="preserve">3 peça(s)</t>
  </si>
  <si>
    <t xml:space="preserve">Soma do mix de kits (deve ser 100%)</t>
  </si>
  <si>
    <t xml:space="preserve">Peças por pedido (média)</t>
  </si>
  <si>
    <t xml:space="preserve">peças</t>
  </si>
  <si>
    <t xml:space="preserve">Preço COD médio</t>
  </si>
  <si>
    <t xml:space="preserve">Preço antecipado médio</t>
  </si>
  <si>
    <t xml:space="preserve">Prazos (dias) — onde mora a maior incerteza</t>
  </si>
  <si>
    <t xml:space="preserve">COD: dias do pedido até a entrega/tentativa</t>
  </si>
  <si>
    <t xml:space="preserve">Logzz: D+1 a D+3</t>
  </si>
  <si>
    <t xml:space="preserve">COD: dias do pagamento do cliente até o dinheiro disponível</t>
  </si>
  <si>
    <t xml:space="preserve">Operador: 14 dias a partir do pagamento (Pix ou cartão)</t>
  </si>
  <si>
    <t xml:space="preserve">Antecipado: dias do pedido até o dinheiro disponível</t>
  </si>
  <si>
    <t xml:space="preserve">Operador: na hora</t>
  </si>
  <si>
    <t xml:space="preserve">Devolução: dias da entrega até o produto chegar ao centro de distribuição</t>
  </si>
  <si>
    <t xml:space="preserve">Assumido — a taxa de R$ 25 é cobrada nesse dia (operador)</t>
  </si>
  <si>
    <t xml:space="preserve">Como o caixa sai (chaves 1 = sim / 0 = não)</t>
  </si>
  <si>
    <t xml:space="preserve">Produto sai do caixa (saldo de expedição) após a venda? (1 = sim)</t>
  </si>
  <si>
    <t xml:space="preserve">1/0</t>
  </si>
  <si>
    <t xml:space="preserve">Operador, 09/10: o custo do produto sai do saldo de expedição após toda venda</t>
  </si>
  <si>
    <t xml:space="preserve">COD: dias do pedido criado até 'em separação' (débito do saldo de expedição)</t>
  </si>
  <si>
    <t xml:space="preserve">Assumido — blog Coinzz: o saldo é debitado quando o pedido vai para 'em separação'</t>
  </si>
  <si>
    <t xml:space="preserve">Logística (entrega R$ 19,99 + manuseio) sai do saldo de expedição? (1 = sim)</t>
  </si>
  <si>
    <t xml:space="preserve">Operador, 09/10: todo o caixa fica no saldo de expedição, de onde saem os custos do pedido</t>
  </si>
  <si>
    <t xml:space="preserve">Na devolução, as taxas já pagas (entrega, transação, manuseio original) NÃO voltam? (1 = não voltam)</t>
  </si>
  <si>
    <t xml:space="preserve">R27, 17/10 (operador): os valores fechados da devolução (B40/B41) já incluem as taxas; 0 = não somar de novo (era 1)</t>
  </si>
  <si>
    <t xml:space="preserve">Transação COD (6,99% + R$ 2,49) também sai do caixa antes do repasse? (1 = sim)</t>
  </si>
  <si>
    <t xml:space="preserve">Operador, 09/10: a transação sai do valor em caixa antes do repasse</t>
  </si>
  <si>
    <t xml:space="preserve">Seu caixa</t>
  </si>
  <si>
    <t xml:space="preserve">Caixa disponível</t>
  </si>
  <si>
    <t xml:space="preserve">Operador, 09/10 (dos R$ 2.000 investidos; a verba de R$ 700 vai no cartão e é paga com o repasse do COD, não com este caixa)</t>
  </si>
  <si>
    <t xml:space="preserve">Margem de segurança</t>
  </si>
  <si>
    <t xml:space="preserve">Taxa de saque Logzz</t>
  </si>
  <si>
    <t xml:space="preserve">R$/saque</t>
  </si>
  <si>
    <t xml:space="preserve">ajuda.logzz.com.br — não estava nos docs</t>
  </si>
  <si>
    <t xml:space="preserve">Saques por fatura paga</t>
  </si>
  <si>
    <t xml:space="preserve">saques</t>
  </si>
  <si>
    <t xml:space="preserve">Operador, 09/10: saca do saldo para a conta no dia de pagar a fatura</t>
  </si>
  <si>
    <t xml:space="preserve">Economia por pedido (R27, 17/10: transação de 6,99% sobre a comissão; devolução de R$ 30 / R$ 50 fechados, sobre os entregues)</t>
  </si>
  <si>
    <t xml:space="preserve">Linha (R$ por pedido criado)</t>
  </si>
  <si>
    <t xml:space="preserve">COD</t>
  </si>
  <si>
    <t xml:space="preserve">Antecipado</t>
  </si>
  <si>
    <t xml:space="preserve">Obs.</t>
  </si>
  <si>
    <t xml:space="preserve">Faturamento (preço médio)</t>
  </si>
  <si>
    <t xml:space="preserve">Produto</t>
  </si>
  <si>
    <t xml:space="preserve">por peça</t>
  </si>
  <si>
    <t xml:space="preserve">Transação / taxa Mercado Pago</t>
  </si>
  <si>
    <t xml:space="preserve">Entrega concluída</t>
  </si>
  <si>
    <t xml:space="preserve">só COD</t>
  </si>
  <si>
    <t xml:space="preserve">Margem se entregue</t>
  </si>
  <si>
    <t xml:space="preserve">Perda esperada por recusa</t>
  </si>
  <si>
    <t xml:space="preserve">recusa × (margem + taxa)</t>
  </si>
  <si>
    <t xml:space="preserve">Perda esperada por devolução</t>
  </si>
  <si>
    <t xml:space="preserve">devolução: perde a margem e paga o valor fechado (R27); só sobre o que foi entregue</t>
  </si>
  <si>
    <t xml:space="preserve">Margem esperada (antes de lead/IA/WhatsApp)</t>
  </si>
  <si>
    <t xml:space="preserve">Lead (CPL ÷ conversão, com imposto da Meta)</t>
  </si>
  <si>
    <t xml:space="preserve">R$ 1,50 + 13,83% de imposto</t>
  </si>
  <si>
    <t xml:space="preserve">IA (custo por lead ÷ conversão)</t>
  </si>
  <si>
    <t xml:space="preserve">WhatsApp</t>
  </si>
  <si>
    <t xml:space="preserve">Impostos sobre o faturamento entregue</t>
  </si>
  <si>
    <t xml:space="preserve">LUCRO POR VENDA</t>
  </si>
  <si>
    <t xml:space="preserve">Lucro por venda — mix COD/antecipado</t>
  </si>
  <si>
    <t xml:space="preserve">Parâmetros usados no fluxo diário</t>
  </si>
  <si>
    <t xml:space="preserve">COD: fração entregue e mantida ((1 − recusa) × (1 − devolução))</t>
  </si>
  <si>
    <t xml:space="preserve">Produto por pedido (R$)</t>
  </si>
  <si>
    <t xml:space="preserve">COD: taxas por pedido ENTREGUE (transação+entrega+manuseio)</t>
  </si>
  <si>
    <t xml:space="preserve">COD: logística por pedido (entrega concluída + manuseio)</t>
  </si>
  <si>
    <t xml:space="preserve">COD: transação por pedido (6,99% da comissão + R$ 2,49)</t>
  </si>
  <si>
    <t xml:space="preserve">COD: taxas esperadas por pedido criado (entregue + recusa + devolução)</t>
  </si>
  <si>
    <t xml:space="preserve">Antecipado: taxa Mercado Pago por pedido</t>
  </si>
  <si>
    <t xml:space="preserve">Fluxo de caixa diário (R$) — entradas positivas, saídas negativas</t>
  </si>
  <si>
    <t xml:space="preserve">Cada dia de verba gera pedidos; cada pedido gera saídas e entradas deslocadas pelos prazos da aba Premissas. O anúncio sai do caixa só no vencimento da fatura.</t>
  </si>
  <si>
    <t xml:space="preserve">Dia</t>
  </si>
  <si>
    <t xml:space="preserve">Data</t>
  </si>
  <si>
    <t xml:space="preserve">Gasto de anúncio incorrido (cartão)</t>
  </si>
  <si>
    <t xml:space="preserve">Dia do vencimento da fatura</t>
  </si>
  <si>
    <t xml:space="preserve">Anúncios (saída de caixa)</t>
  </si>
  <si>
    <t xml:space="preserve">IA + WhatsApp</t>
  </si>
  <si>
    <t xml:space="preserve">Pedidos COD criados</t>
  </si>
  <si>
    <t xml:space="preserve">Pedidos antec. criados</t>
  </si>
  <si>
    <t xml:space="preserve">COD: produto + taxas (saldo de expedição)</t>
  </si>
  <si>
    <t xml:space="preserve">COD: recusa (estorno − taxa)</t>
  </si>
  <si>
    <t xml:space="preserve">COD: devolução (estorno − custos)</t>
  </si>
  <si>
    <t xml:space="preserve">COD: repasse (entrada)</t>
  </si>
  <si>
    <t xml:space="preserve">Antec.: entrada MP</t>
  </si>
  <si>
    <t xml:space="preserve">Antec.: produto + manuseio (saldo de expedição)</t>
  </si>
  <si>
    <t xml:space="preserve">Antec.: devolução</t>
  </si>
  <si>
    <t xml:space="preserve">Impostos</t>
  </si>
  <si>
    <t xml:space="preserve">Custos fixos</t>
  </si>
  <si>
    <t xml:space="preserve">Líquido do dia</t>
  </si>
  <si>
    <t xml:space="preserve">Caixa acumulado</t>
  </si>
  <si>
    <t xml:space="preserve">Marcador</t>
  </si>
  <si>
    <t xml:space="preserve">Caixa acumulado se o anúncio fosse pago no dia</t>
  </si>
  <si>
    <t xml:space="preserve">WhatsApp incorrido</t>
  </si>
  <si>
    <t xml:space="preserve">Dia do caixa do WhatsApp (cobrado dia 1 no cartão)</t>
  </si>
  <si>
    <t xml:space="preserve">Saldo a cobrar da Meta (verba + imposto)</t>
  </si>
  <si>
    <t xml:space="preserve">Cobrança da Meta no cartão</t>
  </si>
  <si>
    <t xml:space="preserve">Saldo a cobrar da API de IA</t>
  </si>
  <si>
    <t xml:space="preserve">Cobrança da API de IA no cartão</t>
  </si>
  <si>
    <t xml:space="preserve">Dia do caixa da cobrança de IA</t>
  </si>
  <si>
    <t xml:space="preserve">Total</t>
  </si>
  <si>
    <t xml:space="preserve">Pico de caixa negativo (R$)</t>
  </si>
  <si>
    <t xml:space="preserve">Dia do pico</t>
  </si>
  <si>
    <t xml:space="preserve">Dia em que o caixa volta a zero</t>
  </si>
  <si>
    <t xml:space="preserve">Perguntas que ainda faltam</t>
  </si>
  <si>
    <t xml:space="preserve">#</t>
  </si>
  <si>
    <t xml:space="preserve">Pergunta</t>
  </si>
  <si>
    <t xml:space="preserve">Por que importa</t>
  </si>
  <si>
    <t xml:space="preserve">O que assumi</t>
  </si>
  <si>
    <t xml:space="preserve">Sua resposta</t>
  </si>
  <si>
    <t xml:space="preserve">Na 1ª fatura real, o imposto da Meta (13,83%) aparece em qual linha? Mantive 13,83% porque você disse 'deve aparecer'.</t>
  </si>
  <si>
    <t xml:space="preserve">Sem ele o custo do anúncio cai R$ 93 no teste (sem efeito no pico)</t>
  </si>
  <si>
    <t xml:space="preserve">13,83% sobre a verba</t>
  </si>
  <si>
    <t xml:space="preserve">Frete de retorno real: medir nas primeiras devoluções. Mantive R$ 45 (faixa R$ 30–60).</t>
  </si>
  <si>
    <t xml:space="preserve">Cada R$ 15 muda o pico em ~R$ 14</t>
  </si>
  <si>
    <t xml:space="preserve">R$ 45</t>
  </si>
  <si>
    <t xml:space="preserve">O saque do saldo leva D+1 a D+2. Usei 2 dias e tirei o dinheiro 2 dias antes do vencimento.</t>
  </si>
  <si>
    <t xml:space="preserve">Se cair no mesmo dia, o pico muda menos de R$ 5</t>
  </si>
  <si>
    <t xml:space="preserve">2 dias</t>
  </si>
  <si>
    <t xml:space="preserve">Se o limite do cartão (R$ 4.000) e o saldo da conta cobrem a fatura de 29/11 (R$ 700 de Meta + IA + fixos) sem usar o saldo de expedição.</t>
  </si>
  <si>
    <t xml:space="preserve">A fatura é paga com o saque do repasse</t>
  </si>
  <si>
    <t xml:space="preserve">Sim</t>
  </si>
  <si>
    <t xml:space="preserve">Documentação do projeto x fontes públicas (consulta de 09/10/2026)</t>
  </si>
  <si>
    <t xml:space="preserve">Na documentação do projeto</t>
  </si>
  <si>
    <t xml:space="preserve">Nas fontes públicas</t>
  </si>
  <si>
    <t xml:space="preserve">Veredito</t>
  </si>
  <si>
    <t xml:space="preserve">Fonte</t>
  </si>
  <si>
    <t xml:space="preserve">Taxa de transação COD</t>
  </si>
  <si>
    <t xml:space="preserve">6,99% da comissão (preço − produto − entrega − manuseio) + R$ 2,49 antifraude — R27, 17/10</t>
  </si>
  <si>
    <t xml:space="preserve">Central Logzz: 6,99% 'sobre o valor da comissão' + R$ 2,49. Site de produtores: 6,9%</t>
  </si>
  <si>
    <t xml:space="preserve">Confere em % / base de cálculo a confirmar</t>
  </si>
  <si>
    <t xml:space="preserve">ajuda.logzz.com.br/artigos/taxas-prazos-e-condicoes-da-logzz; logzz.com.br/produtores</t>
  </si>
  <si>
    <t xml:space="preserve">R$ 19,99 (só COD)</t>
  </si>
  <si>
    <t xml:space="preserve">R$ 19,99 normal; R$ 24,99 Express</t>
  </si>
  <si>
    <t xml:space="preserve">Confere</t>
  </si>
  <si>
    <t xml:space="preserve">Central Logzz</t>
  </si>
  <si>
    <t xml:space="preserve">R$ 4,99</t>
  </si>
  <si>
    <t xml:space="preserve">Central: R$ 5,00. Site de produtores: R$ 4,99</t>
  </si>
  <si>
    <t xml:space="preserve">Atualizado para R$ 5,00 (operador, 09/10)</t>
  </si>
  <si>
    <t xml:space="preserve">Central Logzz; logzz.com.br/produtores</t>
  </si>
  <si>
    <t xml:space="preserve">Entrega frustrada / recusa</t>
  </si>
  <si>
    <t xml:space="preserve">R$ 9,99</t>
  </si>
  <si>
    <t xml:space="preserve">Site de produtores: R$ 9,99. Central de ajuda: R$ 4,99</t>
  </si>
  <si>
    <t xml:space="preserve">Resolvido (operador, 09/10): R$ 4,99 frustrada + R$ 5,00 manuseio = R$ 9,99 de custo total</t>
  </si>
  <si>
    <t xml:space="preserve">Prazo de liberação COD</t>
  </si>
  <si>
    <t xml:space="preserve">14 dias após o pagamento</t>
  </si>
  <si>
    <t xml:space="preserve">Central Logzz: 'prazo padrão de liberação é de 14 dias'. Antecipação 100% com taxa de 4,99%</t>
  </si>
  <si>
    <t xml:space="preserve">Confere; contagem (pagamento ou entrega) a confirmar</t>
  </si>
  <si>
    <t xml:space="preserve">Taxa de saque</t>
  </si>
  <si>
    <t xml:space="preserve">Não consta</t>
  </si>
  <si>
    <t xml:space="preserve">R$ 3,99 fixo por saque</t>
  </si>
  <si>
    <t xml:space="preserve">Confirmado pelo operador; incluída (1 saque/mês)</t>
  </si>
  <si>
    <t xml:space="preserve">Devolução / retorno de produto</t>
  </si>
  <si>
    <t xml:space="preserve">R$ 25,00 (estimativa)</t>
  </si>
  <si>
    <t xml:space="preserve">Nenhuma tarifa de devolução publicada</t>
  </si>
  <si>
    <t xml:space="preserve">Operador, 09/10: paga frete de retorno (R$ 30–60, modelo usa R$ 45) + manuseio, e perde as taxas já pagas (entrega, transação, manuseio original)</t>
  </si>
  <si>
    <t xml:space="preserve">Central Logzz; blog Coinzz</t>
  </si>
  <si>
    <t xml:space="preserve">Cobrança das taxas de entrega</t>
  </si>
  <si>
    <t xml:space="preserve">Pagas antecipadamente (operador)</t>
  </si>
  <si>
    <t xml:space="preserve">Blog Coinzz: saldo de expedição debitado quando o pedido vai para 'em separação'; estornado se a entrega falha</t>
  </si>
  <si>
    <t xml:space="preserve">Operador, 09/10: todo o caixa fica no saldo de expedição e dele saem os custos do pedido; ver aba Taxas antecipadas</t>
  </si>
  <si>
    <t xml:space="preserve">blog.coinzz.com.br — pagamento na entrega</t>
  </si>
  <si>
    <t xml:space="preserve">Taxa de frustração</t>
  </si>
  <si>
    <t xml:space="preserve">12–17%</t>
  </si>
  <si>
    <t xml:space="preserve">Blog Coinzz: 13% a 16% (fonte com interesse comercial)</t>
  </si>
  <si>
    <t xml:space="preserve">Coerente</t>
  </si>
  <si>
    <t xml:space="preserve">blog.coinzz.com.br</t>
  </si>
  <si>
    <t xml:space="preserve">Mercado Pago (antecipado)</t>
  </si>
  <si>
    <t xml:space="preserve">Pix 0,99% + R$ 1,00; cartão à vista 4,98%</t>
  </si>
  <si>
    <t xml:space="preserve">Calculadoras de terceiros: Pix 0,99% em checkout; cartão 4,98% na hora e 3,99% em 30 dias. Sem fonte oficial</t>
  </si>
  <si>
    <t xml:space="preserve">Coerente, não confirmado na fonte oficial</t>
  </si>
  <si>
    <t xml:space="preserve">calculadoradetaxas.com.br</t>
  </si>
  <si>
    <t xml:space="preserve">Coinzz — Pix/cartão</t>
  </si>
  <si>
    <t xml:space="preserve">Antifraude removido no antecipado (26/09)</t>
  </si>
  <si>
    <t xml:space="preserve">Blog Coinzz: 6,90% + R$ 1,00; Pix/boleto em 1 dia e cartão até 14 dias (pode ser exemplo)</t>
  </si>
  <si>
    <t xml:space="preserve">Conferir qual tabela vale no seu painel</t>
  </si>
  <si>
    <t xml:space="preserve">Imposto da Meta Ads</t>
  </si>
  <si>
    <t xml:space="preserve">Desde 01/01/2026 a Meta soma ~12,15% (PIS/Cofins 9,25% + ISS 2,9%) e na prática R$ 100 viram R$ 113,83 no cartão</t>
  </si>
  <si>
    <t xml:space="preserve">Confirmado pelo operador; incluído (13,83%)</t>
  </si>
  <si>
    <t xml:space="preserve">tecnoblog.net; Comunicado oficial Meta</t>
  </si>
  <si>
    <t xml:space="preserve">WhatsApp utility</t>
  </si>
  <si>
    <t xml:space="preserve">~US$ 0,0068 (~R$ 0,04); grátis dentro da janela de 24h</t>
  </si>
  <si>
    <t xml:space="preserve">Meta: utility dentro da janela é grátis, fora é cobrado por mensagem; BRL desde 01/07/2026. Zenvia FAQ cita cobrança dentro da janela a partir de 01/10/2026 (não confirmado pela Meta)</t>
  </si>
  <si>
    <t xml:space="preserve">Valor em BRL não publicado nas fontes</t>
  </si>
  <si>
    <t xml:space="preserve">developers.facebook.com/documentation/business-messaging/whatsapp/pricing</t>
  </si>
  <si>
    <t xml:space="preserve">Meta API (IA)</t>
  </si>
  <si>
    <t xml:space="preserve">R$ 0,27 por lead; pago dia 1</t>
  </si>
  <si>
    <t xml:space="preserve">Operador, 09/10: a API da Meta cobra no cartão ao chegar em R$ 20</t>
  </si>
  <si>
    <t xml:space="preserve">Armazenagem Logzz</t>
  </si>
  <si>
    <t xml:space="preserve">Sem custo com estoque girando; R$ 30/m³ se ficar 60 dias sem vendas</t>
  </si>
  <si>
    <t xml:space="preserve">Observação (não afeta o teste)</t>
  </si>
  <si>
    <t xml:space="preserve">Frete para abastecer estoque</t>
  </si>
  <si>
    <t xml:space="preserve">Correios/transportadora até o armazém é do produtor</t>
  </si>
  <si>
    <t xml:space="preserve">Operador: não é custo seu</t>
  </si>
  <si>
    <t xml:space="preserve">logzz.com.br/produtores</t>
  </si>
  <si>
    <t xml:space="preserve">Taxas e custos adiantados por pedido — o que sai do seu caixa, quando e de onde</t>
  </si>
  <si>
    <t xml:space="preserve">Valores calculados a partir da aba Premissas (1 peça, preço COD e antecipado médios).</t>
  </si>
  <si>
    <t xml:space="preserve">Caminho</t>
  </si>
  <si>
    <t xml:space="preserve">Valor por pedido (R$)</t>
  </si>
  <si>
    <t xml:space="preserve">Quando sai</t>
  </si>
  <si>
    <t xml:space="preserve">De onde sai</t>
  </si>
  <si>
    <t xml:space="preserve">Base de cálculo</t>
  </si>
  <si>
    <t xml:space="preserve">Se o pedido falha</t>
  </si>
  <si>
    <t xml:space="preserve">Status</t>
  </si>
  <si>
    <t xml:space="preserve">'Em separação' (após a venda)</t>
  </si>
  <si>
    <t xml:space="preserve">Saldo de expedição</t>
  </si>
  <si>
    <t xml:space="preserve">R$ 30 por peça</t>
  </si>
  <si>
    <t xml:space="preserve">Volta ao estoque; sem perda (operador)</t>
  </si>
  <si>
    <t xml:space="preserve">'Em separação' (~1 dia após o pedido)</t>
  </si>
  <si>
    <t xml:space="preserve">Fixo</t>
  </si>
  <si>
    <t xml:space="preserve">Estornada se a entrega falha (blog Coinzz)</t>
  </si>
  <si>
    <t xml:space="preserve">Valor: Central Logzz. Débito em 'separação': blog Coinzz. Saldo/recarga: a confirmar</t>
  </si>
  <si>
    <t xml:space="preserve">'Em separação'</t>
  </si>
  <si>
    <t xml:space="preserve">Recusa: fica (R$ 5,00). Devolução: fica</t>
  </si>
  <si>
    <t xml:space="preserve">Central Logzz R$ 5,00; operador, 09/10</t>
  </si>
  <si>
    <t xml:space="preserve">Transação (6,99% + antifraude R$ 2,49)</t>
  </si>
  <si>
    <t xml:space="preserve">Modelo: antes do repasse (conservador)</t>
  </si>
  <si>
    <t xml:space="preserve">Saldo ou repasse — A CONFIRMAR</t>
  </si>
  <si>
    <t xml:space="preserve">6,99% × comissão (preço − produto − entrega − manuseio) + R$ 2,49 — R27, 17/10</t>
  </si>
  <si>
    <t xml:space="preserve">Estornada na recusa/devolução (premissa)</t>
  </si>
  <si>
    <t xml:space="preserve">Valor confirmado; momento a confirmar</t>
  </si>
  <si>
    <t xml:space="preserve">Entrega frustrada (recusa)</t>
  </si>
  <si>
    <t xml:space="preserve">Quando a recusa acontece (~D+2)</t>
  </si>
  <si>
    <t xml:space="preserve">Só existe na recusa: custo total da recusa = frustrada + manuseio</t>
  </si>
  <si>
    <t xml:space="preserve">Custo TOTAL da recusa</t>
  </si>
  <si>
    <t xml:space="preserve">~D+2</t>
  </si>
  <si>
    <t xml:space="preserve">R$ 4,99 + R$ 5,00</t>
  </si>
  <si>
    <t xml:space="preserve">Logística e transação voltam</t>
  </si>
  <si>
    <t xml:space="preserve">Custo TOTAL da devolução</t>
  </si>
  <si>
    <t xml:space="preserve">Produto chega ao centro (~D+9)</t>
  </si>
  <si>
    <t xml:space="preserve">Seu caixa / saldo</t>
  </si>
  <si>
    <t xml:space="preserve">Valor fechado: frete de volta + manuseio + taxas (R27, 17/10)</t>
  </si>
  <si>
    <t xml:space="preserve">Produto volta ao estoque</t>
  </si>
  <si>
    <t xml:space="preserve">Operador, R27, 17/10 (antes R$ 86,56)</t>
  </si>
  <si>
    <t xml:space="preserve">Volta ao estoque</t>
  </si>
  <si>
    <t xml:space="preserve">Valor fechado, já com a taxa do Mercado Pago que não volta; o preço é devolvido (R27, 17/10)</t>
  </si>
  <si>
    <t xml:space="preserve">Operador, R27, 17/10 (antes R$ 58,99)</t>
  </si>
  <si>
    <t xml:space="preserve">Devolução: não volta</t>
  </si>
  <si>
    <t xml:space="preserve">Taxa Mercado Pago</t>
  </si>
  <si>
    <t xml:space="preserve">Descontada na entrada do dinheiro (na hora)</t>
  </si>
  <si>
    <t xml:space="preserve">Descontada do recebimento</t>
  </si>
  <si>
    <t xml:space="preserve">50% Pix (0,99% + R$ 1,00) e 50% cartão à vista (4,98%)</t>
  </si>
  <si>
    <t xml:space="preserve">Não volta no estorno</t>
  </si>
  <si>
    <t xml:space="preserve">Operador mantém</t>
  </si>
  <si>
    <t xml:space="preserve">Não existe no antecipado</t>
  </si>
  <si>
    <t xml:space="preserve">—</t>
  </si>
  <si>
    <t xml:space="preserve">Suporte Logzz/Coinzz, 29/09</t>
  </si>
  <si>
    <t xml:space="preserve">Todos</t>
  </si>
  <si>
    <t xml:space="preserve">Anúncio (Meta)</t>
  </si>
  <si>
    <t xml:space="preserve">Vencimento da fatura do cartão (dia 29)</t>
  </si>
  <si>
    <t xml:space="preserve">Cartão de crédito; você saca do saldo para pagar</t>
  </si>
  <si>
    <t xml:space="preserve">CPL ÷ conversão, mais 13,83% de imposto (conferir na 1ª fatura)</t>
  </si>
  <si>
    <t xml:space="preserve">Já gasto</t>
  </si>
  <si>
    <t xml:space="preserve">Imposto: comunicado Meta</t>
  </si>
  <si>
    <t xml:space="preserve">IA: cobrada ao chegar em R$ 20 no cartão. WhatsApp: dia 1. Saem do caixa ~2 dias antes do vencimento (saque)</t>
  </si>
  <si>
    <t xml:space="preserve">Cartão de crédito</t>
  </si>
  <si>
    <t xml:space="preserve">R$ 0,27 por lead; R$ 0,04 por pedido</t>
  </si>
  <si>
    <t xml:space="preserve">IA medida; WhatsApp sem valor oficial</t>
  </si>
  <si>
    <t xml:space="preserve">Mensal</t>
  </si>
  <si>
    <t xml:space="preserve">PikaPods + número WhatsApp</t>
  </si>
  <si>
    <t xml:space="preserve">Cobrados dia 1 no cartão; saem no vencimento (dia 29)</t>
  </si>
  <si>
    <t xml:space="preserve">R$ 18,50 + R$ 35,00</t>
  </si>
  <si>
    <t xml:space="preserve">Por fatura</t>
  </si>
  <si>
    <t xml:space="preserve">Saque Logzz</t>
  </si>
  <si>
    <t xml:space="preserve">~2 dias antes do vencimento (saque D+1 a D+2)</t>
  </si>
  <si>
    <t xml:space="preserve">Descontado do saque do saldo</t>
  </si>
  <si>
    <t xml:space="preserve">R$ 3,99 por saque</t>
  </si>
  <si>
    <t xml:space="preserve">Central Logzz; operador, 09/10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</si>
</sst>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&quot;R$ &quot;#,##0.00;&quot;(R$ &quot;#,##0.00\);\-"/>
    <numFmt numFmtId="166" formatCode="#,##0.0;\(#,##0.0\);\-"/>
    <numFmt numFmtId="167" formatCode="@"/>
    <numFmt numFmtId="168" formatCode="0"/>
    <numFmt numFmtId="169" formatCode="0.0\x"/>
    <numFmt numFmtId="170" formatCode="0\x"/>
    <numFmt numFmtId="171" formatCode="&quot;R$ &quot;#,##0;&quot;(R$ &quot;#,##0\);\-"/>
    <numFmt numFmtId="172" formatCode="dd/mm/yyyy"/>
    <numFmt numFmtId="173" formatCode="0.0%;\(0.0%\);\-"/>
    <numFmt numFmtId="174" formatCode="0.00%"/>
    <numFmt numFmtId="175" formatCode="dd/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28"/>
    <col collapsed="false" customWidth="true" hidden="false" outlineLevel="0" max="3" min="3" style="1" width="24"/>
    <col collapsed="false" customWidth="true" hidden="false" outlineLevel="0" max="4" min="4" style="1" width="5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true" outlineLevel="0" collapsed="false">
      <c r="A5" s="3" t="s">
        <v>5</v>
      </c>
      <c r="B5" s="5" t="n">
        <f aca="false">'Fluxo diário'!C95</f>
        <v>700</v>
      </c>
      <c r="C5" s="3" t="s">
        <v>6</v>
      </c>
    </row>
    <row r="6" customFormat="false" ht="15" hidden="false" customHeight="true" outlineLevel="0" collapsed="false">
      <c r="A6" s="3" t="s">
        <v>7</v>
      </c>
      <c r="B6" s="6" t="n">
        <f aca="false">'Fluxo diário'!G95+'Fluxo diário'!H95</f>
        <v>46.6666666666667</v>
      </c>
      <c r="C6" s="3" t="s">
        <v>8</v>
      </c>
    </row>
    <row r="7" customFormat="false" ht="15" hidden="false" customHeight="true" outlineLevel="0" collapsed="false">
      <c r="A7" s="3" t="s">
        <v>9</v>
      </c>
      <c r="B7" s="7" t="str">
        <f aca="false">TEXT('Fluxo diário'!G95,"0.0")&amp;" / "&amp;TEXT('Fluxo diário'!H95,"0.0")</f>
        <v>32.7 / 14.0</v>
      </c>
      <c r="C7" s="3"/>
    </row>
    <row r="8" customFormat="false" ht="15" hidden="false" customHeight="true" outlineLevel="0" collapsed="false">
      <c r="A8" s="3" t="s">
        <v>10</v>
      </c>
      <c r="B8" s="5" t="n">
        <f aca="false">'Fluxo diário'!G95*Premissas!$B$51+'Fluxo diário'!H95*Premissas!$B$52</f>
        <v>5880.14</v>
      </c>
      <c r="C8" s="3" t="s">
        <v>11</v>
      </c>
    </row>
    <row r="9" customFormat="false" ht="15" hidden="false" customHeight="true" outlineLevel="0" collapsed="false">
      <c r="A9" s="8" t="s">
        <v>12</v>
      </c>
      <c r="B9" s="9" t="n">
        <f aca="false">-'Fluxo diário'!B99</f>
        <v>570.723498709</v>
      </c>
      <c r="C9" s="3" t="s">
        <v>13</v>
      </c>
    </row>
    <row r="10" customFormat="false" ht="15" hidden="false" customHeight="true" outlineLevel="0" collapsed="false">
      <c r="A10" s="3" t="s">
        <v>14</v>
      </c>
      <c r="B10" s="10" t="n">
        <f aca="false">'Fluxo diário'!B100</f>
        <v>16</v>
      </c>
      <c r="C10" s="3" t="s">
        <v>15</v>
      </c>
    </row>
    <row r="11" customFormat="false" ht="15" hidden="false" customHeight="true" outlineLevel="0" collapsed="false">
      <c r="A11" s="3" t="s">
        <v>16</v>
      </c>
      <c r="B11" s="10" t="n">
        <f aca="false">'Fluxo diário'!B101</f>
        <v>20</v>
      </c>
      <c r="C11" s="3" t="s">
        <v>17</v>
      </c>
    </row>
    <row r="12" customFormat="false" ht="15" hidden="false" customHeight="true" outlineLevel="0" collapsed="false">
      <c r="A12" s="3" t="s">
        <v>18</v>
      </c>
      <c r="B12" s="5" t="n">
        <f aca="false">-'Fluxo diário'!B102</f>
        <v>1367.533498709</v>
      </c>
      <c r="C12" s="3" t="s">
        <v>19</v>
      </c>
    </row>
    <row r="13" customFormat="false" ht="15" hidden="false" customHeight="true" outlineLevel="0" collapsed="false">
      <c r="A13" s="3" t="s">
        <v>20</v>
      </c>
      <c r="B13" s="5" t="n">
        <f aca="false">Premissas!$B$65-Premissas!$B$66</f>
        <v>1075</v>
      </c>
      <c r="C13" s="3" t="s">
        <v>21</v>
      </c>
    </row>
    <row r="14" customFormat="false" ht="15" hidden="false" customHeight="true" outlineLevel="0" collapsed="false">
      <c r="A14" s="8" t="s">
        <v>22</v>
      </c>
      <c r="B14" s="9" t="n">
        <f aca="false">B13-B9</f>
        <v>504.276501291</v>
      </c>
      <c r="C14" s="3" t="s">
        <v>23</v>
      </c>
    </row>
    <row r="15" customFormat="false" ht="15" hidden="false" customHeight="true" outlineLevel="0" collapsed="false">
      <c r="A15" s="3" t="s">
        <v>24</v>
      </c>
      <c r="B15" s="5" t="n">
        <f aca="false">'Fluxo diário'!S94</f>
        <v>1374.73938121533</v>
      </c>
      <c r="C15" s="3" t="s">
        <v>25</v>
      </c>
    </row>
    <row r="16" customFormat="false" ht="15" hidden="false" customHeight="true" outlineLevel="0" collapsed="false">
      <c r="A16" s="3" t="s">
        <v>26</v>
      </c>
      <c r="B16" s="5" t="n">
        <f aca="false">Unitário!B18</f>
        <v>31.9225581689</v>
      </c>
      <c r="C16" s="3" t="s">
        <v>27</v>
      </c>
    </row>
    <row r="17" customFormat="false" ht="15" hidden="false" customHeight="true" outlineLevel="0" collapsed="false">
      <c r="A17" s="3" t="s">
        <v>28</v>
      </c>
      <c r="B17" s="11" t="n">
        <f aca="false">IFERROR(B13/B9,0)</f>
        <v>1.88357409924717</v>
      </c>
      <c r="C17" s="3" t="s">
        <v>29</v>
      </c>
    </row>
    <row r="18" customFormat="false" ht="15" hidden="false" customHeight="true" outlineLevel="0" collapsed="false">
      <c r="A18" s="3" t="s">
        <v>30</v>
      </c>
      <c r="B18" s="5" t="n">
        <f aca="false">B5*(1+Premissas!$B$17)</f>
        <v>796.81</v>
      </c>
      <c r="C18" s="3" t="s">
        <v>31</v>
      </c>
    </row>
    <row r="19" customFormat="false" ht="15" hidden="false" customHeight="true" outlineLevel="0" collapsed="false">
      <c r="A19" s="3" t="s">
        <v>32</v>
      </c>
      <c r="B19" s="6" t="n">
        <f aca="false">B5/Premissas!$B$18</f>
        <v>466.666666666667</v>
      </c>
      <c r="C19" s="3" t="s">
        <v>33</v>
      </c>
    </row>
    <row r="20" customFormat="false" ht="15" hidden="false" customHeight="true" outlineLevel="0" collapsed="false">
      <c r="A20" s="3" t="s">
        <v>34</v>
      </c>
      <c r="B20" s="7" t="str">
        <f aca="false">IF(AND(B19&gt;500,B6&gt;50),"passa","abaixo do piso")</f>
        <v>abaixo do piso</v>
      </c>
      <c r="C20" s="3" t="s">
        <v>35</v>
      </c>
    </row>
    <row r="22" customFormat="false" ht="15" hidden="false" customHeight="true" outlineLevel="0" collapsed="false">
      <c r="A22" s="12" t="s">
        <v>36</v>
      </c>
    </row>
    <row r="23" customFormat="false" ht="15" hidden="false" customHeight="true" outlineLevel="0" collapsed="false">
      <c r="A23" s="4" t="s">
        <v>37</v>
      </c>
      <c r="B23" s="4" t="s">
        <v>38</v>
      </c>
      <c r="C23" s="4" t="s">
        <v>39</v>
      </c>
      <c r="D23" s="4" t="s">
        <v>4</v>
      </c>
    </row>
    <row r="24" customFormat="false" ht="15" hidden="false" customHeight="true" outlineLevel="0" collapsed="false">
      <c r="A24" s="3" t="s">
        <v>40</v>
      </c>
      <c r="B24" s="13" t="n">
        <f aca="false">(Premissas!$B$18*(1+Premissas!$B$17)+Premissas!$B$20)/Premissas!$B$19+Premissas!$B$21</f>
        <v>19.8145</v>
      </c>
      <c r="C24" s="13" t="n">
        <f aca="false">(Premissas!$B$18*(1+Premissas!$B$17)+Premissas!$B$20)/Premissas!$B$19+Premissas!$B$21</f>
        <v>19.8145</v>
      </c>
      <c r="D24" s="3" t="s">
        <v>41</v>
      </c>
    </row>
    <row r="25" customFormat="false" ht="15" hidden="false" customHeight="true" outlineLevel="0" collapsed="false">
      <c r="A25" s="3" t="s">
        <v>42</v>
      </c>
      <c r="B25" s="13" t="n">
        <f aca="false">Premissas!$B$59*Unitário!$B$22</f>
        <v>30</v>
      </c>
      <c r="C25" s="13" t="n">
        <f aca="false">Premissas!$B$59*Unitário!$B$22</f>
        <v>30</v>
      </c>
      <c r="D25" s="3" t="s">
        <v>43</v>
      </c>
    </row>
    <row r="26" customFormat="false" ht="15" hidden="false" customHeight="true" outlineLevel="0" collapsed="false">
      <c r="A26" s="3" t="s">
        <v>44</v>
      </c>
      <c r="B26" s="13" t="n">
        <f aca="false">Premissas!$B$61*Unitário!$B$24+Premissas!$B$63*Unitário!$B$25</f>
        <v>32.716209</v>
      </c>
      <c r="C26" s="13" t="n">
        <f aca="false">Premissas!$B$31</f>
        <v>5</v>
      </c>
      <c r="D26" s="3" t="s">
        <v>45</v>
      </c>
    </row>
    <row r="27" customFormat="false" ht="15" hidden="false" customHeight="true" outlineLevel="0" collapsed="false">
      <c r="A27" s="3" t="s">
        <v>46</v>
      </c>
      <c r="B27" s="13" t="n">
        <f aca="false">-Premissas!$B$26*(Premissas!$B$59*Unitário!$B$22+Premissas!$B$61*Unitário!$B$24+Premissas!$B$63*Unitário!$B$25)-(1-Premissas!$B$26)*Premissas!$B$27*(Premissas!$B$59*Unitário!$B$22+(1-Premissas!$B$62)*(Premissas!$B$61*Unitário!$B$24+Premissas!$B$63*Unitário!$B$25))+Premissas!$B$26*Premissas!$B$39+(1-Premissas!$B$26)*Premissas!$B$27*Premissas!$B$40</f>
        <v>-11.678900877</v>
      </c>
      <c r="C27" s="13" t="n">
        <f aca="false">-Premissas!$B$27*(Premissas!$B$59*Unitário!$B$22+(1-Premissas!$B$62)*Premissas!$B$31)+Premissas!$B$27*Premissas!$B$41</f>
        <v>1.5</v>
      </c>
      <c r="D27" s="3" t="s">
        <v>47</v>
      </c>
    </row>
    <row r="28" customFormat="false" ht="15" hidden="false" customHeight="true" outlineLevel="0" collapsed="false">
      <c r="A28" s="14" t="s">
        <v>48</v>
      </c>
      <c r="B28" s="15" t="n">
        <f aca="false">SUM(B25:B27)</f>
        <v>51.037308123</v>
      </c>
      <c r="C28" s="15" t="n">
        <f aca="false">SUM(C25:C27)</f>
        <v>36.5</v>
      </c>
      <c r="D28" s="3" t="s">
        <v>49</v>
      </c>
    </row>
    <row r="29" customFormat="false" ht="15" hidden="false" customHeight="true" outlineLevel="0" collapsed="false">
      <c r="A29" s="3" t="s">
        <v>50</v>
      </c>
      <c r="B29" s="16" t="n">
        <f aca="false">Premissas!$B$54+Premissas!$B$55</f>
        <v>16</v>
      </c>
      <c r="C29" s="16" t="n">
        <f aca="false">Premissas!$B$56</f>
        <v>0</v>
      </c>
      <c r="D29" s="3" t="s">
        <v>51</v>
      </c>
    </row>
    <row r="30" customFormat="false" ht="15" hidden="false" customHeight="true" outlineLevel="0" collapsed="false">
      <c r="A30" s="3" t="s">
        <v>52</v>
      </c>
      <c r="B30" s="13" t="n">
        <f aca="false">Unitário!$B$21*Premissas!$B$51</f>
        <v>97.0353</v>
      </c>
      <c r="C30" s="13" t="n">
        <f aca="false">(1-Premissas!$B$27)*Premissas!$B$52</f>
        <v>105.219</v>
      </c>
      <c r="D30" s="3" t="s">
        <v>53</v>
      </c>
    </row>
    <row r="33" customFormat="false" ht="15" hidden="false" customHeight="true" outlineLevel="0" collapsed="false">
      <c r="A33" s="12" t="s">
        <v>54</v>
      </c>
    </row>
    <row r="34" customFormat="false" ht="15" hidden="false" customHeight="true" outlineLevel="0" collapsed="false">
      <c r="A34" s="4" t="s">
        <v>55</v>
      </c>
      <c r="B34" s="4" t="s">
        <v>56</v>
      </c>
      <c r="C34" s="4" t="s">
        <v>57</v>
      </c>
      <c r="D34" s="4" t="s">
        <v>58</v>
      </c>
    </row>
    <row r="35" customFormat="false" ht="15" hidden="false" customHeight="true" outlineLevel="0" collapsed="false">
      <c r="A35" s="17" t="n">
        <v>1</v>
      </c>
      <c r="B35" s="18" t="n">
        <f aca="false">A35*B5</f>
        <v>700</v>
      </c>
      <c r="C35" s="18" t="n">
        <f aca="false">A35*B9</f>
        <v>570.723498709</v>
      </c>
      <c r="D35" s="18" t="n">
        <f aca="false">$B$13-C35</f>
        <v>504.276501291</v>
      </c>
    </row>
    <row r="36" customFormat="false" ht="15" hidden="false" customHeight="true" outlineLevel="0" collapsed="false">
      <c r="A36" s="17" t="n">
        <v>2</v>
      </c>
      <c r="B36" s="18" t="n">
        <f aca="false">A36*B5</f>
        <v>1400</v>
      </c>
      <c r="C36" s="18" t="n">
        <f aca="false">A36*B9</f>
        <v>1141.446997418</v>
      </c>
      <c r="D36" s="18" t="n">
        <f aca="false">$B$13-C36</f>
        <v>-66.4469974180001</v>
      </c>
    </row>
    <row r="37" customFormat="false" ht="15" hidden="false" customHeight="true" outlineLevel="0" collapsed="false">
      <c r="A37" s="17" t="n">
        <v>3</v>
      </c>
      <c r="B37" s="18" t="n">
        <f aca="false">A37*B5</f>
        <v>2100</v>
      </c>
      <c r="C37" s="18" t="n">
        <f aca="false">A37*B9</f>
        <v>1712.170496127</v>
      </c>
      <c r="D37" s="18" t="n">
        <f aca="false">$B$13-C37</f>
        <v>-637.170496127</v>
      </c>
    </row>
    <row r="38" customFormat="false" ht="15" hidden="false" customHeight="true" outlineLevel="0" collapsed="false">
      <c r="A38" s="17" t="n">
        <v>5</v>
      </c>
      <c r="B38" s="18" t="n">
        <f aca="false">A38*B5</f>
        <v>3500</v>
      </c>
      <c r="C38" s="18" t="n">
        <f aca="false">A38*B9</f>
        <v>2853.617493545</v>
      </c>
      <c r="D38" s="18" t="n">
        <f aca="false">$B$13-C38</f>
        <v>-1778.617493545</v>
      </c>
    </row>
    <row r="39" customFormat="false" ht="15" hidden="false" customHeight="true" outlineLevel="0" collapsed="false">
      <c r="A39" s="17" t="n">
        <v>10</v>
      </c>
      <c r="B39" s="18" t="n">
        <f aca="false">A39*B5</f>
        <v>7000</v>
      </c>
      <c r="C39" s="18" t="n">
        <f aca="false">A39*B9</f>
        <v>5707.23498709</v>
      </c>
      <c r="D39" s="18" t="n">
        <f aca="false">$B$13-C39</f>
        <v>-4632.23498709</v>
      </c>
    </row>
    <row r="41" customFormat="false" ht="15" hidden="false" customHeight="true" outlineLevel="0" collapsed="false">
      <c r="A41" s="3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3" min="2" style="1" width="16"/>
    <col collapsed="false" customWidth="true" hidden="false" outlineLevel="0" max="4" min="4" style="1" width="70"/>
  </cols>
  <sheetData>
    <row r="1" customFormat="false" ht="17.25" hidden="false" customHeight="true" outlineLevel="0" collapsed="false">
      <c r="A1" s="2" t="s">
        <v>60</v>
      </c>
    </row>
    <row r="2" customFormat="false" ht="15" hidden="false" customHeight="true" outlineLevel="0" collapsed="false">
      <c r="A2" s="3" t="s">
        <v>61</v>
      </c>
    </row>
    <row r="4" customFormat="false" ht="15" hidden="false" customHeight="true" outlineLevel="0" collapsed="false">
      <c r="A4" s="4" t="s">
        <v>62</v>
      </c>
      <c r="B4" s="4" t="s">
        <v>3</v>
      </c>
      <c r="C4" s="4" t="s">
        <v>63</v>
      </c>
      <c r="D4" s="4" t="s">
        <v>64</v>
      </c>
    </row>
    <row r="5" customFormat="false" ht="15" hidden="false" customHeight="true" outlineLevel="0" collapsed="false">
      <c r="A5" s="19" t="s">
        <v>65</v>
      </c>
      <c r="B5" s="20"/>
      <c r="C5" s="20"/>
      <c r="D5" s="20"/>
    </row>
    <row r="6" customFormat="false" ht="15" hidden="false" customHeight="true" outlineLevel="0" collapsed="false">
      <c r="A6" s="3" t="s">
        <v>66</v>
      </c>
      <c r="B6" s="21" t="n">
        <v>350</v>
      </c>
      <c r="C6" s="3" t="s">
        <v>67</v>
      </c>
      <c r="D6" s="3" t="s">
        <v>68</v>
      </c>
    </row>
    <row r="7" customFormat="false" ht="15" hidden="false" customHeight="true" outlineLevel="0" collapsed="false">
      <c r="A7" s="3" t="s">
        <v>69</v>
      </c>
      <c r="B7" s="22" t="n">
        <v>7</v>
      </c>
      <c r="C7" s="3" t="s">
        <v>70</v>
      </c>
      <c r="D7" s="3" t="s">
        <v>71</v>
      </c>
    </row>
    <row r="8" customFormat="false" ht="15" hidden="false" customHeight="true" outlineLevel="0" collapsed="false">
      <c r="A8" s="3" t="s">
        <v>72</v>
      </c>
      <c r="B8" s="22" t="n">
        <v>2</v>
      </c>
      <c r="C8" s="3" t="s">
        <v>70</v>
      </c>
      <c r="D8" s="3" t="s">
        <v>73</v>
      </c>
    </row>
    <row r="9" customFormat="false" ht="15" hidden="false" customHeight="true" outlineLevel="0" collapsed="false">
      <c r="A9" s="3" t="s">
        <v>74</v>
      </c>
      <c r="B9" s="21" t="n">
        <v>350</v>
      </c>
      <c r="C9" s="3" t="s">
        <v>67</v>
      </c>
      <c r="D9" s="3" t="s">
        <v>75</v>
      </c>
    </row>
    <row r="10" customFormat="false" ht="15" hidden="false" customHeight="true" outlineLevel="0" collapsed="false">
      <c r="A10" s="3" t="s">
        <v>76</v>
      </c>
      <c r="B10" s="22" t="n">
        <v>7</v>
      </c>
      <c r="C10" s="3" t="s">
        <v>70</v>
      </c>
      <c r="D10" s="3" t="s">
        <v>71</v>
      </c>
    </row>
    <row r="11" customFormat="false" ht="15" hidden="false" customHeight="true" outlineLevel="0" collapsed="false">
      <c r="A11" s="3" t="s">
        <v>77</v>
      </c>
      <c r="B11" s="23" t="n">
        <v>46318</v>
      </c>
      <c r="C11" s="3" t="s">
        <v>78</v>
      </c>
      <c r="D11" s="3" t="s">
        <v>79</v>
      </c>
    </row>
    <row r="12" customFormat="false" ht="15" hidden="false" customHeight="true" outlineLevel="0" collapsed="false">
      <c r="A12" s="3" t="s">
        <v>80</v>
      </c>
      <c r="B12" s="24" t="n">
        <v>22</v>
      </c>
      <c r="C12" s="3" t="s">
        <v>81</v>
      </c>
      <c r="D12" s="3" t="s">
        <v>82</v>
      </c>
    </row>
    <row r="13" customFormat="false" ht="15" hidden="false" customHeight="true" outlineLevel="0" collapsed="false">
      <c r="A13" s="3" t="s">
        <v>83</v>
      </c>
      <c r="B13" s="21" t="n">
        <v>100</v>
      </c>
      <c r="C13" s="3" t="s">
        <v>67</v>
      </c>
      <c r="D13" s="3" t="s">
        <v>84</v>
      </c>
    </row>
    <row r="14" customFormat="false" ht="15" hidden="false" customHeight="true" outlineLevel="0" collapsed="false">
      <c r="A14" s="3" t="s">
        <v>85</v>
      </c>
      <c r="B14" s="21" t="n">
        <v>20</v>
      </c>
      <c r="C14" s="3" t="s">
        <v>67</v>
      </c>
      <c r="D14" s="3" t="s">
        <v>86</v>
      </c>
    </row>
    <row r="15" customFormat="false" ht="15" hidden="false" customHeight="true" outlineLevel="0" collapsed="false">
      <c r="A15" s="3" t="s">
        <v>87</v>
      </c>
      <c r="B15" s="22" t="n">
        <v>2</v>
      </c>
      <c r="C15" s="3" t="s">
        <v>70</v>
      </c>
      <c r="D15" s="3" t="s">
        <v>88</v>
      </c>
    </row>
    <row r="16" customFormat="false" ht="15" hidden="false" customHeight="true" outlineLevel="0" collapsed="false">
      <c r="A16" s="3" t="s">
        <v>89</v>
      </c>
      <c r="B16" s="22" t="n">
        <v>29</v>
      </c>
      <c r="C16" s="3" t="s">
        <v>81</v>
      </c>
      <c r="D16" s="3" t="s">
        <v>90</v>
      </c>
    </row>
    <row r="17" customFormat="false" ht="15" hidden="false" customHeight="true" outlineLevel="0" collapsed="false">
      <c r="A17" s="3" t="s">
        <v>91</v>
      </c>
      <c r="B17" s="25" t="n">
        <v>0.1383</v>
      </c>
      <c r="C17" s="3" t="s">
        <v>92</v>
      </c>
      <c r="D17" s="3" t="s">
        <v>93</v>
      </c>
    </row>
    <row r="18" customFormat="false" ht="15" hidden="false" customHeight="true" outlineLevel="0" collapsed="false">
      <c r="A18" s="3" t="s">
        <v>94</v>
      </c>
      <c r="B18" s="21" t="n">
        <v>1.5</v>
      </c>
      <c r="C18" s="3" t="s">
        <v>67</v>
      </c>
      <c r="D18" s="3" t="s">
        <v>95</v>
      </c>
    </row>
    <row r="19" customFormat="false" ht="15" hidden="false" customHeight="true" outlineLevel="0" collapsed="false">
      <c r="A19" s="3" t="s">
        <v>96</v>
      </c>
      <c r="B19" s="26" t="n">
        <v>0.1</v>
      </c>
      <c r="C19" s="3" t="s">
        <v>97</v>
      </c>
      <c r="D19" s="3" t="s">
        <v>98</v>
      </c>
    </row>
    <row r="20" customFormat="false" ht="15" hidden="false" customHeight="true" outlineLevel="0" collapsed="false">
      <c r="A20" s="3" t="s">
        <v>99</v>
      </c>
      <c r="B20" s="21" t="n">
        <v>0.27</v>
      </c>
      <c r="C20" s="3" t="s">
        <v>67</v>
      </c>
      <c r="D20" s="3" t="s">
        <v>100</v>
      </c>
    </row>
    <row r="21" customFormat="false" ht="15" hidden="false" customHeight="true" outlineLevel="0" collapsed="false">
      <c r="A21" s="3" t="s">
        <v>101</v>
      </c>
      <c r="B21" s="21" t="n">
        <v>0.04</v>
      </c>
      <c r="C21" s="3" t="s">
        <v>67</v>
      </c>
      <c r="D21" s="3" t="s">
        <v>102</v>
      </c>
    </row>
    <row r="22" customFormat="false" ht="15" hidden="false" customHeight="true" outlineLevel="0" collapsed="false">
      <c r="A22" s="19" t="s">
        <v>103</v>
      </c>
      <c r="B22" s="20"/>
      <c r="C22" s="20"/>
      <c r="D22" s="20"/>
    </row>
    <row r="23" customFormat="false" ht="15" hidden="false" customHeight="true" outlineLevel="0" collapsed="false">
      <c r="A23" s="3" t="s">
        <v>104</v>
      </c>
      <c r="B23" s="26" t="n">
        <v>0.7</v>
      </c>
      <c r="C23" s="3" t="s">
        <v>97</v>
      </c>
      <c r="D23" s="3" t="s">
        <v>105</v>
      </c>
    </row>
    <row r="24" customFormat="false" ht="15" hidden="false" customHeight="true" outlineLevel="0" collapsed="false">
      <c r="A24" s="3" t="s">
        <v>106</v>
      </c>
      <c r="B24" s="27" t="n">
        <f aca="false">1-Premissas!$B$23</f>
        <v>0.3</v>
      </c>
      <c r="C24" s="3" t="s">
        <v>97</v>
      </c>
      <c r="D24" s="3"/>
    </row>
    <row r="25" customFormat="false" ht="15" hidden="false" customHeight="true" outlineLevel="0" collapsed="false">
      <c r="A25" s="19" t="s">
        <v>107</v>
      </c>
      <c r="B25" s="20"/>
      <c r="C25" s="20"/>
      <c r="D25" s="20"/>
    </row>
    <row r="26" customFormat="false" ht="15" hidden="false" customHeight="true" outlineLevel="0" collapsed="false">
      <c r="A26" s="3" t="s">
        <v>108</v>
      </c>
      <c r="B26" s="26" t="n">
        <v>0.17</v>
      </c>
      <c r="C26" s="3" t="s">
        <v>97</v>
      </c>
      <c r="D26" s="3" t="s">
        <v>109</v>
      </c>
    </row>
    <row r="27" customFormat="false" ht="15" hidden="false" customHeight="true" outlineLevel="0" collapsed="false">
      <c r="A27" s="3" t="s">
        <v>110</v>
      </c>
      <c r="B27" s="26" t="n">
        <v>0.1</v>
      </c>
      <c r="C27" s="3" t="s">
        <v>97</v>
      </c>
      <c r="D27" s="3" t="s">
        <v>111</v>
      </c>
    </row>
    <row r="28" customFormat="false" ht="15" hidden="false" customHeight="true" outlineLevel="0" collapsed="false">
      <c r="A28" s="19" t="s">
        <v>112</v>
      </c>
      <c r="B28" s="20"/>
      <c r="C28" s="20"/>
      <c r="D28" s="20"/>
    </row>
    <row r="29" customFormat="false" ht="15" hidden="false" customHeight="true" outlineLevel="0" collapsed="false">
      <c r="A29" s="3" t="s">
        <v>113</v>
      </c>
      <c r="B29" s="21" t="n">
        <v>30</v>
      </c>
      <c r="C29" s="3" t="s">
        <v>114</v>
      </c>
      <c r="D29" s="3" t="s">
        <v>115</v>
      </c>
    </row>
    <row r="30" customFormat="false" ht="15" hidden="false" customHeight="true" outlineLevel="0" collapsed="false">
      <c r="A30" s="3" t="s">
        <v>116</v>
      </c>
      <c r="B30" s="21" t="n">
        <v>19.99</v>
      </c>
      <c r="C30" s="3" t="s">
        <v>117</v>
      </c>
      <c r="D30" s="3" t="s">
        <v>118</v>
      </c>
    </row>
    <row r="31" customFormat="false" ht="15" hidden="false" customHeight="true" outlineLevel="0" collapsed="false">
      <c r="A31" s="3" t="s">
        <v>119</v>
      </c>
      <c r="B31" s="21" t="n">
        <v>5</v>
      </c>
      <c r="C31" s="3" t="s">
        <v>117</v>
      </c>
      <c r="D31" s="3" t="s">
        <v>120</v>
      </c>
    </row>
    <row r="32" customFormat="false" ht="15" hidden="false" customHeight="true" outlineLevel="0" collapsed="false">
      <c r="A32" s="3" t="s">
        <v>121</v>
      </c>
      <c r="B32" s="28" t="n">
        <v>0.0699</v>
      </c>
      <c r="C32" s="3" t="s">
        <v>97</v>
      </c>
      <c r="D32" s="3" t="s">
        <v>122</v>
      </c>
    </row>
    <row r="33" customFormat="false" ht="15" hidden="false" customHeight="true" outlineLevel="0" collapsed="false">
      <c r="A33" s="3" t="s">
        <v>123</v>
      </c>
      <c r="B33" s="21" t="n">
        <v>2.49</v>
      </c>
      <c r="C33" s="3" t="s">
        <v>117</v>
      </c>
      <c r="D33" s="3" t="s">
        <v>124</v>
      </c>
    </row>
    <row r="34" customFormat="false" ht="15" hidden="false" customHeight="true" outlineLevel="0" collapsed="false">
      <c r="A34" s="3" t="s">
        <v>125</v>
      </c>
      <c r="B34" s="28" t="n">
        <v>0.0099</v>
      </c>
      <c r="C34" s="3" t="s">
        <v>97</v>
      </c>
      <c r="D34" s="3" t="s">
        <v>126</v>
      </c>
    </row>
    <row r="35" customFormat="false" ht="15" hidden="false" customHeight="true" outlineLevel="0" collapsed="false">
      <c r="A35" s="3" t="s">
        <v>127</v>
      </c>
      <c r="B35" s="21" t="n">
        <v>1</v>
      </c>
      <c r="C35" s="3" t="s">
        <v>67</v>
      </c>
      <c r="D35" s="3" t="s">
        <v>126</v>
      </c>
    </row>
    <row r="36" customFormat="false" ht="15" hidden="false" customHeight="true" outlineLevel="0" collapsed="false">
      <c r="A36" s="3" t="s">
        <v>128</v>
      </c>
      <c r="B36" s="28" t="n">
        <v>0.0498</v>
      </c>
      <c r="C36" s="3" t="s">
        <v>97</v>
      </c>
      <c r="D36" s="3" t="s">
        <v>126</v>
      </c>
    </row>
    <row r="37" customFormat="false" ht="15" hidden="false" customHeight="true" outlineLevel="0" collapsed="false">
      <c r="A37" s="3" t="s">
        <v>129</v>
      </c>
      <c r="B37" s="26" t="n">
        <v>0.5</v>
      </c>
      <c r="C37" s="3" t="s">
        <v>97</v>
      </c>
      <c r="D37" s="3" t="s">
        <v>130</v>
      </c>
    </row>
    <row r="38" customFormat="false" ht="15" hidden="false" customHeight="true" outlineLevel="0" collapsed="false">
      <c r="A38" s="3" t="s">
        <v>131</v>
      </c>
      <c r="B38" s="21" t="n">
        <v>4.99</v>
      </c>
      <c r="C38" s="3" t="s">
        <v>117</v>
      </c>
      <c r="D38" s="3" t="s">
        <v>132</v>
      </c>
    </row>
    <row r="39" customFormat="false" ht="15" hidden="false" customHeight="true" outlineLevel="0" collapsed="false">
      <c r="A39" s="3" t="s">
        <v>133</v>
      </c>
      <c r="B39" s="13" t="n">
        <f aca="false">Premissas!$B$38+Premissas!$B$31</f>
        <v>9.99</v>
      </c>
      <c r="C39" s="3" t="s">
        <v>117</v>
      </c>
      <c r="D39" s="3" t="s">
        <v>134</v>
      </c>
    </row>
    <row r="40" customFormat="false" ht="15" hidden="false" customHeight="true" outlineLevel="0" collapsed="false">
      <c r="A40" s="3" t="s">
        <v>135</v>
      </c>
      <c r="B40" s="29" t="n">
        <v>30</v>
      </c>
      <c r="C40" s="3" t="s">
        <v>117</v>
      </c>
      <c r="D40" s="3" t="s">
        <v>136</v>
      </c>
    </row>
    <row r="41" customFormat="false" ht="15" hidden="false" customHeight="true" outlineLevel="0" collapsed="false">
      <c r="A41" s="3" t="s">
        <v>137</v>
      </c>
      <c r="B41" s="13" t="n">
        <v>50</v>
      </c>
      <c r="C41" s="3" t="s">
        <v>117</v>
      </c>
      <c r="D41" s="3" t="s">
        <v>138</v>
      </c>
    </row>
    <row r="42" customFormat="false" ht="15" hidden="false" customHeight="true" outlineLevel="0" collapsed="false">
      <c r="A42" s="3" t="s">
        <v>139</v>
      </c>
      <c r="B42" s="26" t="n">
        <v>0</v>
      </c>
      <c r="C42" s="3" t="s">
        <v>97</v>
      </c>
      <c r="D42" s="3" t="s">
        <v>140</v>
      </c>
    </row>
    <row r="43" customFormat="false" ht="15" hidden="false" customHeight="true" outlineLevel="0" collapsed="false">
      <c r="A43" s="3" t="s">
        <v>141</v>
      </c>
      <c r="B43" s="21" t="n">
        <v>53.5</v>
      </c>
      <c r="C43" s="3" t="s">
        <v>142</v>
      </c>
      <c r="D43" s="3" t="s">
        <v>143</v>
      </c>
    </row>
    <row r="44" customFormat="false" ht="15" hidden="false" customHeight="true" outlineLevel="0" collapsed="false">
      <c r="A44" s="19" t="s">
        <v>144</v>
      </c>
      <c r="B44" s="20"/>
      <c r="C44" s="20"/>
      <c r="D44" s="20"/>
    </row>
    <row r="45" customFormat="false" ht="23.25" hidden="false" customHeight="true" outlineLevel="0" collapsed="false">
      <c r="A45" s="4" t="s">
        <v>145</v>
      </c>
      <c r="B45" s="4" t="s">
        <v>146</v>
      </c>
      <c r="C45" s="4" t="s">
        <v>147</v>
      </c>
      <c r="D45" s="4" t="s">
        <v>148</v>
      </c>
    </row>
    <row r="46" customFormat="false" ht="15" hidden="false" customHeight="true" outlineLevel="0" collapsed="false">
      <c r="A46" s="3" t="s">
        <v>149</v>
      </c>
      <c r="B46" s="21" t="n">
        <v>129.9</v>
      </c>
      <c r="C46" s="21" t="n">
        <v>116.91</v>
      </c>
      <c r="D46" s="25" t="n">
        <v>1</v>
      </c>
    </row>
    <row r="47" customFormat="false" ht="15" hidden="false" customHeight="true" outlineLevel="0" collapsed="false">
      <c r="A47" s="3" t="s">
        <v>150</v>
      </c>
      <c r="B47" s="21" t="n">
        <v>233.82</v>
      </c>
      <c r="C47" s="21" t="n">
        <v>207.84</v>
      </c>
      <c r="D47" s="25" t="n">
        <v>0</v>
      </c>
    </row>
    <row r="48" customFormat="false" ht="15" hidden="false" customHeight="true" outlineLevel="0" collapsed="false">
      <c r="A48" s="3" t="s">
        <v>151</v>
      </c>
      <c r="B48" s="21" t="n">
        <v>311.76</v>
      </c>
      <c r="C48" s="21" t="n">
        <v>272.79</v>
      </c>
      <c r="D48" s="25" t="n">
        <v>0</v>
      </c>
    </row>
    <row r="49" customFormat="false" ht="15" hidden="false" customHeight="true" outlineLevel="0" collapsed="false">
      <c r="A49" s="3" t="s">
        <v>152</v>
      </c>
      <c r="D49" s="27" t="n">
        <f aca="false">SUM(D46:D48)</f>
        <v>1</v>
      </c>
    </row>
    <row r="50" customFormat="false" ht="15" hidden="false" customHeight="true" outlineLevel="0" collapsed="false">
      <c r="A50" s="3" t="s">
        <v>153</v>
      </c>
      <c r="B50" s="30" t="n">
        <f aca="false">1*D46+2*D47+3*D48</f>
        <v>1</v>
      </c>
      <c r="C50" s="3" t="s">
        <v>154</v>
      </c>
      <c r="D50" s="3"/>
    </row>
    <row r="51" customFormat="false" ht="15" hidden="false" customHeight="true" outlineLevel="0" collapsed="false">
      <c r="A51" s="3" t="s">
        <v>155</v>
      </c>
      <c r="B51" s="13" t="n">
        <f aca="false">SUMPRODUCT(B46:B48,D46:D48)</f>
        <v>129.9</v>
      </c>
      <c r="C51" s="3" t="s">
        <v>67</v>
      </c>
      <c r="D51" s="3"/>
    </row>
    <row r="52" customFormat="false" ht="15" hidden="false" customHeight="true" outlineLevel="0" collapsed="false">
      <c r="A52" s="3" t="s">
        <v>156</v>
      </c>
      <c r="B52" s="13" t="n">
        <f aca="false">SUMPRODUCT(C46:C48,D46:D48)</f>
        <v>116.91</v>
      </c>
      <c r="C52" s="3" t="s">
        <v>67</v>
      </c>
      <c r="D52" s="3"/>
    </row>
    <row r="53" customFormat="false" ht="15" hidden="false" customHeight="true" outlineLevel="0" collapsed="false">
      <c r="A53" s="19" t="s">
        <v>157</v>
      </c>
      <c r="B53" s="20"/>
      <c r="C53" s="20"/>
      <c r="D53" s="20"/>
    </row>
    <row r="54" customFormat="false" ht="15" hidden="false" customHeight="true" outlineLevel="0" collapsed="false">
      <c r="A54" s="3" t="s">
        <v>158</v>
      </c>
      <c r="B54" s="24" t="n">
        <v>2</v>
      </c>
      <c r="C54" s="3" t="s">
        <v>70</v>
      </c>
      <c r="D54" s="3" t="s">
        <v>159</v>
      </c>
    </row>
    <row r="55" customFormat="false" ht="15" hidden="false" customHeight="true" outlineLevel="0" collapsed="false">
      <c r="A55" s="3" t="s">
        <v>160</v>
      </c>
      <c r="B55" s="22" t="n">
        <v>14</v>
      </c>
      <c r="C55" s="3" t="s">
        <v>70</v>
      </c>
      <c r="D55" s="3" t="s">
        <v>161</v>
      </c>
    </row>
    <row r="56" customFormat="false" ht="15" hidden="false" customHeight="true" outlineLevel="0" collapsed="false">
      <c r="A56" s="3" t="s">
        <v>162</v>
      </c>
      <c r="B56" s="22" t="n">
        <v>0</v>
      </c>
      <c r="C56" s="3" t="s">
        <v>70</v>
      </c>
      <c r="D56" s="3" t="s">
        <v>163</v>
      </c>
    </row>
    <row r="57" customFormat="false" ht="15" hidden="false" customHeight="true" outlineLevel="0" collapsed="false">
      <c r="A57" s="3" t="s">
        <v>164</v>
      </c>
      <c r="B57" s="24" t="n">
        <v>7</v>
      </c>
      <c r="C57" s="3" t="s">
        <v>70</v>
      </c>
      <c r="D57" s="3" t="s">
        <v>165</v>
      </c>
    </row>
    <row r="58" customFormat="false" ht="15" hidden="false" customHeight="true" outlineLevel="0" collapsed="false">
      <c r="A58" s="19" t="s">
        <v>166</v>
      </c>
      <c r="B58" s="20"/>
      <c r="C58" s="20"/>
      <c r="D58" s="20"/>
    </row>
    <row r="59" customFormat="false" ht="15" hidden="false" customHeight="true" outlineLevel="0" collapsed="false">
      <c r="A59" s="3" t="s">
        <v>167</v>
      </c>
      <c r="B59" s="22" t="n">
        <v>1</v>
      </c>
      <c r="C59" s="3" t="s">
        <v>168</v>
      </c>
      <c r="D59" s="3" t="s">
        <v>169</v>
      </c>
    </row>
    <row r="60" customFormat="false" ht="15" hidden="false" customHeight="true" outlineLevel="0" collapsed="false">
      <c r="A60" s="3" t="s">
        <v>170</v>
      </c>
      <c r="B60" s="24" t="n">
        <v>1</v>
      </c>
      <c r="C60" s="3" t="s">
        <v>70</v>
      </c>
      <c r="D60" s="3" t="s">
        <v>171</v>
      </c>
    </row>
    <row r="61" customFormat="false" ht="15" hidden="false" customHeight="true" outlineLevel="0" collapsed="false">
      <c r="A61" s="3" t="s">
        <v>172</v>
      </c>
      <c r="B61" s="22" t="n">
        <v>1</v>
      </c>
      <c r="C61" s="3" t="s">
        <v>168</v>
      </c>
      <c r="D61" s="3" t="s">
        <v>173</v>
      </c>
    </row>
    <row r="62" customFormat="false" ht="15" hidden="false" customHeight="true" outlineLevel="0" collapsed="false">
      <c r="A62" s="3" t="s">
        <v>174</v>
      </c>
      <c r="B62" s="22" t="n">
        <v>0</v>
      </c>
      <c r="C62" s="3" t="s">
        <v>168</v>
      </c>
      <c r="D62" s="3" t="s">
        <v>175</v>
      </c>
    </row>
    <row r="63" customFormat="false" ht="15" hidden="false" customHeight="true" outlineLevel="0" collapsed="false">
      <c r="A63" s="3" t="s">
        <v>176</v>
      </c>
      <c r="B63" s="22" t="n">
        <v>1</v>
      </c>
      <c r="C63" s="3" t="s">
        <v>168</v>
      </c>
      <c r="D63" s="3" t="s">
        <v>177</v>
      </c>
    </row>
    <row r="64" customFormat="false" ht="15" hidden="false" customHeight="true" outlineLevel="0" collapsed="false">
      <c r="A64" s="19" t="s">
        <v>178</v>
      </c>
      <c r="B64" s="20"/>
      <c r="C64" s="20"/>
      <c r="D64" s="20"/>
    </row>
    <row r="65" customFormat="false" ht="15" hidden="false" customHeight="true" outlineLevel="0" collapsed="false">
      <c r="A65" s="3" t="s">
        <v>179</v>
      </c>
      <c r="B65" s="21" t="n">
        <v>1325</v>
      </c>
      <c r="C65" s="3" t="s">
        <v>67</v>
      </c>
      <c r="D65" s="3" t="s">
        <v>180</v>
      </c>
    </row>
    <row r="66" customFormat="false" ht="15" hidden="false" customHeight="true" outlineLevel="0" collapsed="false">
      <c r="A66" s="3" t="s">
        <v>181</v>
      </c>
      <c r="B66" s="21" t="n">
        <v>250</v>
      </c>
      <c r="C66" s="3" t="s">
        <v>67</v>
      </c>
      <c r="D66" s="3" t="s">
        <v>90</v>
      </c>
    </row>
    <row r="67" customFormat="false" ht="15" hidden="false" customHeight="true" outlineLevel="0" collapsed="false">
      <c r="A67" s="3" t="s">
        <v>182</v>
      </c>
      <c r="B67" s="21" t="n">
        <v>3.99</v>
      </c>
      <c r="C67" s="3" t="s">
        <v>183</v>
      </c>
      <c r="D67" s="3" t="s">
        <v>184</v>
      </c>
    </row>
    <row r="68" customFormat="false" ht="15" hidden="false" customHeight="true" outlineLevel="0" collapsed="false">
      <c r="A68" s="3" t="s">
        <v>185</v>
      </c>
      <c r="B68" s="22" t="n">
        <v>1</v>
      </c>
      <c r="C68" s="3" t="s">
        <v>186</v>
      </c>
      <c r="D68" s="3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3" min="2" style="1" width="18"/>
    <col collapsed="false" customWidth="true" hidden="false" outlineLevel="0" max="4" min="4" style="1" width="36"/>
  </cols>
  <sheetData>
    <row r="1" customFormat="false" ht="15" hidden="false" customHeight="true" outlineLevel="0" collapsed="false">
      <c r="A1" s="12" t="s">
        <v>188</v>
      </c>
    </row>
    <row r="3" customFormat="false" ht="15" hidden="false" customHeight="true" outlineLevel="0" collapsed="false">
      <c r="A3" s="4" t="s">
        <v>189</v>
      </c>
      <c r="B3" s="4" t="s">
        <v>190</v>
      </c>
      <c r="C3" s="4" t="s">
        <v>191</v>
      </c>
      <c r="D3" s="4" t="s">
        <v>192</v>
      </c>
    </row>
    <row r="4" customFormat="false" ht="15" hidden="false" customHeight="true" outlineLevel="0" collapsed="false">
      <c r="A4" s="3" t="s">
        <v>193</v>
      </c>
      <c r="B4" s="13" t="n">
        <f aca="false">Premissas!$B$51</f>
        <v>129.9</v>
      </c>
      <c r="C4" s="13" t="n">
        <f aca="false">Premissas!$B$52</f>
        <v>116.91</v>
      </c>
      <c r="D4" s="3"/>
    </row>
    <row r="5" customFormat="false" ht="15" hidden="false" customHeight="true" outlineLevel="0" collapsed="false">
      <c r="A5" s="3" t="s">
        <v>194</v>
      </c>
      <c r="B5" s="13" t="n">
        <f aca="false">-Premissas!$B$29*Premissas!$B$50</f>
        <v>-30</v>
      </c>
      <c r="C5" s="13" t="n">
        <f aca="false">-Premissas!$B$29*Premissas!$B$50</f>
        <v>-30</v>
      </c>
      <c r="D5" s="3" t="s">
        <v>195</v>
      </c>
    </row>
    <row r="6" customFormat="false" ht="15" hidden="false" customHeight="true" outlineLevel="0" collapsed="false">
      <c r="A6" s="3" t="s">
        <v>196</v>
      </c>
      <c r="B6" s="13" t="n">
        <f aca="false">-(Premissas!$B$32*(Premissas!$B$51-Premissas!$B$29*Premissas!$B$50-Premissas!$B$30-Premissas!$B$31)+Premissas!$B$33)</f>
        <v>-7.726209</v>
      </c>
      <c r="C6" s="13" t="n">
        <f aca="false">-(Premissas!$B$37*(Premissas!$B$34*Premissas!$B$52+Premissas!$B$35)+(1-Premissas!$B$37)*Premissas!$B$36*Premissas!$B$52)</f>
        <v>-3.9897635</v>
      </c>
      <c r="D6" s="3"/>
    </row>
    <row r="7" customFormat="false" ht="15" hidden="false" customHeight="true" outlineLevel="0" collapsed="false">
      <c r="A7" s="3" t="s">
        <v>197</v>
      </c>
      <c r="B7" s="13" t="n">
        <f aca="false">-Premissas!$B$30</f>
        <v>-19.99</v>
      </c>
      <c r="C7" s="13" t="n">
        <f aca="false">0</f>
        <v>0</v>
      </c>
      <c r="D7" s="3" t="s">
        <v>198</v>
      </c>
    </row>
    <row r="8" customFormat="false" ht="15" hidden="false" customHeight="true" outlineLevel="0" collapsed="false">
      <c r="A8" s="3" t="s">
        <v>119</v>
      </c>
      <c r="B8" s="13" t="n">
        <f aca="false">-Premissas!$B$31</f>
        <v>-5</v>
      </c>
      <c r="C8" s="13" t="n">
        <f aca="false">-Premissas!$B$31</f>
        <v>-5</v>
      </c>
      <c r="D8" s="3"/>
    </row>
    <row r="9" customFormat="false" ht="15" hidden="false" customHeight="true" outlineLevel="0" collapsed="false">
      <c r="A9" s="14" t="s">
        <v>199</v>
      </c>
      <c r="B9" s="15" t="n">
        <f aca="false">SUM(B4:B8)</f>
        <v>67.183791</v>
      </c>
      <c r="C9" s="15" t="n">
        <f aca="false">SUM(C4:C8)</f>
        <v>77.9202365</v>
      </c>
      <c r="D9" s="3"/>
    </row>
    <row r="10" customFormat="false" ht="15" hidden="false" customHeight="true" outlineLevel="0" collapsed="false">
      <c r="A10" s="3" t="s">
        <v>200</v>
      </c>
      <c r="B10" s="13" t="n">
        <f aca="false">-Premissas!$B$26*(B9+Premissas!$B$39)</f>
        <v>-13.11954447</v>
      </c>
      <c r="C10" s="13" t="n">
        <f aca="false">0</f>
        <v>0</v>
      </c>
      <c r="D10" s="3" t="s">
        <v>201</v>
      </c>
    </row>
    <row r="11" customFormat="false" ht="15" hidden="false" customHeight="true" outlineLevel="0" collapsed="false">
      <c r="A11" s="3" t="s">
        <v>202</v>
      </c>
      <c r="B11" s="13" t="n">
        <f aca="false">-(1-Premissas!$B$26)*Premissas!$B$27*(B9+Premissas!$B$40)</f>
        <v>-8.066254653</v>
      </c>
      <c r="C11" s="13" t="n">
        <f aca="false">-Premissas!$B$27*(C9+Premissas!$B$41)</f>
        <v>-12.79202365</v>
      </c>
      <c r="D11" s="3" t="s">
        <v>203</v>
      </c>
    </row>
    <row r="12" customFormat="false" ht="15" hidden="false" customHeight="true" outlineLevel="0" collapsed="false">
      <c r="A12" s="14" t="s">
        <v>204</v>
      </c>
      <c r="B12" s="15" t="n">
        <f aca="false">SUM(B9:B11)</f>
        <v>45.997991877</v>
      </c>
      <c r="C12" s="15" t="n">
        <f aca="false">SUM(C9:C11)</f>
        <v>65.12821285</v>
      </c>
      <c r="D12" s="3"/>
    </row>
    <row r="13" customFormat="false" ht="15" hidden="false" customHeight="true" outlineLevel="0" collapsed="false">
      <c r="A13" s="3" t="s">
        <v>205</v>
      </c>
      <c r="B13" s="13" t="n">
        <f aca="false">-Premissas!$B$18*(1+Premissas!$B$17)/Premissas!$B$19</f>
        <v>-17.0745</v>
      </c>
      <c r="C13" s="13" t="n">
        <f aca="false">-Premissas!$B$18*(1+Premissas!$B$17)/Premissas!$B$19</f>
        <v>-17.0745</v>
      </c>
      <c r="D13" s="3" t="s">
        <v>206</v>
      </c>
    </row>
    <row r="14" customFormat="false" ht="15" hidden="false" customHeight="true" outlineLevel="0" collapsed="false">
      <c r="A14" s="3" t="s">
        <v>207</v>
      </c>
      <c r="B14" s="13" t="n">
        <f aca="false">-Premissas!$B$20/Premissas!$B$19</f>
        <v>-2.7</v>
      </c>
      <c r="C14" s="13" t="n">
        <f aca="false">-Premissas!$B$20/Premissas!$B$19</f>
        <v>-2.7</v>
      </c>
      <c r="D14" s="3"/>
    </row>
    <row r="15" customFormat="false" ht="15" hidden="false" customHeight="true" outlineLevel="0" collapsed="false">
      <c r="A15" s="3" t="s">
        <v>208</v>
      </c>
      <c r="B15" s="13" t="n">
        <f aca="false">-Premissas!$B$21</f>
        <v>-0.04</v>
      </c>
      <c r="C15" s="13" t="n">
        <f aca="false">-Premissas!$B$21</f>
        <v>-0.04</v>
      </c>
      <c r="D15" s="3"/>
    </row>
    <row r="16" customFormat="false" ht="15" hidden="false" customHeight="true" outlineLevel="0" collapsed="false">
      <c r="A16" s="3" t="s">
        <v>209</v>
      </c>
      <c r="B16" s="13" t="n">
        <f aca="false">-Premissas!$B$42*Premissas!$B$51*(1-Premissas!$B$26-Premissas!$B$27)</f>
        <v>-0</v>
      </c>
      <c r="C16" s="13" t="n">
        <f aca="false">-Premissas!$B$42*Premissas!$B$52*(1-Premissas!$B$27)</f>
        <v>-0</v>
      </c>
      <c r="D16" s="3"/>
    </row>
    <row r="17" customFormat="false" ht="15" hidden="false" customHeight="true" outlineLevel="0" collapsed="false">
      <c r="A17" s="14" t="s">
        <v>210</v>
      </c>
      <c r="B17" s="15" t="n">
        <f aca="false">SUM(B12:B16)</f>
        <v>26.183491877</v>
      </c>
      <c r="C17" s="15" t="n">
        <f aca="false">SUM(C12:C16)</f>
        <v>45.31371285</v>
      </c>
      <c r="D17" s="3"/>
    </row>
    <row r="18" customFormat="false" ht="15" hidden="false" customHeight="true" outlineLevel="0" collapsed="false">
      <c r="A18" s="14" t="s">
        <v>211</v>
      </c>
      <c r="B18" s="15" t="n">
        <f aca="false">Premissas!$B$23*B17+Premissas!$B$24*C17</f>
        <v>31.9225581689</v>
      </c>
    </row>
    <row r="20" customFormat="false" ht="15" hidden="false" customHeight="true" outlineLevel="0" collapsed="false">
      <c r="A20" s="14" t="s">
        <v>212</v>
      </c>
    </row>
    <row r="21" customFormat="false" ht="15" hidden="false" customHeight="true" outlineLevel="0" collapsed="false">
      <c r="A21" s="3" t="s">
        <v>213</v>
      </c>
      <c r="B21" s="27" t="n">
        <f aca="false">(1-Premissas!$B$26)*(1-Premissas!$B$27)</f>
        <v>0.747</v>
      </c>
    </row>
    <row r="22" customFormat="false" ht="15" hidden="false" customHeight="true" outlineLevel="0" collapsed="false">
      <c r="A22" s="3" t="s">
        <v>214</v>
      </c>
      <c r="B22" s="13" t="n">
        <f aca="false">Premissas!$B$29*Premissas!$B$50</f>
        <v>30</v>
      </c>
    </row>
    <row r="23" customFormat="false" ht="15" hidden="false" customHeight="true" outlineLevel="0" collapsed="false">
      <c r="A23" s="3" t="s">
        <v>215</v>
      </c>
      <c r="B23" s="13" t="n">
        <f aca="false">-(B6+B7+B8)</f>
        <v>32.716209</v>
      </c>
    </row>
    <row r="24" customFormat="false" ht="15" hidden="false" customHeight="true" outlineLevel="0" collapsed="false">
      <c r="A24" s="3" t="s">
        <v>216</v>
      </c>
      <c r="B24" s="13" t="n">
        <f aca="false">-(B7+B8)</f>
        <v>24.99</v>
      </c>
    </row>
    <row r="25" customFormat="false" ht="15" hidden="false" customHeight="true" outlineLevel="0" collapsed="false">
      <c r="A25" s="3" t="s">
        <v>217</v>
      </c>
      <c r="B25" s="13" t="n">
        <f aca="false">-B6</f>
        <v>7.726209</v>
      </c>
    </row>
    <row r="26" customFormat="false" ht="15" hidden="false" customHeight="true" outlineLevel="0" collapsed="false">
      <c r="A26" s="3" t="s">
        <v>218</v>
      </c>
      <c r="B26" s="13" t="n">
        <f aca="false">Unitário!$B$21*Unitário!$B$23+Premissas!$B$26*Premissas!$B$39+(1-Premissas!$B$26)*Premissas!$B$27*Premissas!$B$40</f>
        <v>28.627308123</v>
      </c>
    </row>
    <row r="27" customFormat="false" ht="15" hidden="false" customHeight="true" outlineLevel="0" collapsed="false">
      <c r="A27" s="3" t="s">
        <v>219</v>
      </c>
      <c r="B27" s="13" t="n">
        <f aca="false">-C6</f>
        <v>3.9897635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8" min="2" style="1" width="15"/>
  </cols>
  <sheetData>
    <row r="1" customFormat="false" ht="15" hidden="false" customHeight="true" outlineLevel="0" collapsed="false">
      <c r="A1" s="12" t="s">
        <v>220</v>
      </c>
    </row>
    <row r="2" customFormat="false" ht="15" hidden="false" customHeight="true" outlineLevel="0" collapsed="false">
      <c r="A2" s="3" t="s">
        <v>221</v>
      </c>
    </row>
    <row r="4" customFormat="false" ht="66" hidden="false" customHeight="true" outlineLevel="0" collapsed="false">
      <c r="A4" s="4" t="s">
        <v>222</v>
      </c>
      <c r="B4" s="4" t="s">
        <v>223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231</v>
      </c>
      <c r="K4" s="4" t="s">
        <v>232</v>
      </c>
      <c r="L4" s="4" t="s">
        <v>233</v>
      </c>
      <c r="M4" s="4" t="s">
        <v>234</v>
      </c>
      <c r="N4" s="4" t="s">
        <v>235</v>
      </c>
      <c r="O4" s="4" t="s">
        <v>236</v>
      </c>
      <c r="P4" s="4" t="s">
        <v>237</v>
      </c>
      <c r="Q4" s="4" t="s">
        <v>238</v>
      </c>
      <c r="R4" s="4" t="s">
        <v>239</v>
      </c>
      <c r="S4" s="4" t="s">
        <v>240</v>
      </c>
      <c r="T4" s="4" t="s">
        <v>241</v>
      </c>
      <c r="U4" s="4" t="s">
        <v>242</v>
      </c>
      <c r="V4" s="4" t="s">
        <v>243</v>
      </c>
      <c r="W4" s="4" t="s">
        <v>244</v>
      </c>
      <c r="X4" s="4" t="s">
        <v>245</v>
      </c>
      <c r="Y4" s="4" t="s">
        <v>246</v>
      </c>
      <c r="Z4" s="4" t="s">
        <v>247</v>
      </c>
      <c r="AA4" s="4" t="s">
        <v>248</v>
      </c>
      <c r="AB4" s="4" t="s">
        <v>249</v>
      </c>
    </row>
    <row r="5" customFormat="false" ht="15" hidden="false" customHeight="true" outlineLevel="0" collapsed="false">
      <c r="A5" s="16" t="n">
        <v>1</v>
      </c>
      <c r="B5" s="31" t="n">
        <f aca="false">Premissas!$B$11+A5-1</f>
        <v>46318</v>
      </c>
      <c r="C5" s="13" t="n">
        <f aca="false">IF(A5&lt;=Premissas!$B$7,Premissas!$B$6/Premissas!$B$7,IF(A5&lt;=Premissas!$B$7+Premissas!$B$8,0,IF(A5&lt;=Premissas!$B$7+Premissas!$B$8+Premissas!$B$10,Premissas!$B$9/Premissas!$B$10,0)))</f>
        <v>50</v>
      </c>
      <c r="D5" s="16" t="n">
        <f aca="false">IF(Y5&gt;0,IF(DAY(B5)&lt;=Premissas!$B$12,DATE(YEAR(B5),MONTH(B5),Premissas!$B$16),DATE(YEAR(B5),MONTH(B5)+1,Premissas!$B$16))-Premissas!$B$11+1-Premissas!$B$15,0)</f>
        <v>0</v>
      </c>
      <c r="E5" s="13" t="n">
        <f aca="false">-SUMIF($D$5:$D$94,A5,$Y$5:$Y$94)</f>
        <v>-0</v>
      </c>
      <c r="F5" s="13" t="n">
        <f aca="false">-SUMIF($W$5:$W$94,A5,$V$5:$V$94)-SUMIF($AB$5:$AB$94,A5,$AA$5:$AA$94)</f>
        <v>-0</v>
      </c>
      <c r="G5" s="30" t="n">
        <f aca="false">C5/Premissas!$B$18*Premissas!$B$19*Premissas!$B$23</f>
        <v>2.33333333333333</v>
      </c>
      <c r="H5" s="30" t="n">
        <f aca="false">C5/Premissas!$B$18*Premissas!$B$19*Premissas!$B$24</f>
        <v>1</v>
      </c>
      <c r="I5" s="13" t="n">
        <f aca="false">-IF($A5-(Premissas!$B$60)&gt;=1,INDEX($G$5:$G$94,$A5-(Premissas!$B$60)),0)*(Premissas!$B$59*Unitário!$B$22+(Premissas!$B$61*Unitário!$B$24+Premissas!$B$63*Unitário!$B$25))</f>
        <v>-0</v>
      </c>
      <c r="J5" s="13" t="n">
        <f aca="false">IF($A5-(Premissas!$B$54)&gt;=1,INDEX($G$5:$G$94,$A5-(Premissas!$B$54)),0)*Premissas!$B$26*((Premissas!$B$59*Unitário!$B$22+(Premissas!$B$61*Unitário!$B$24+Premissas!$B$63*Unitário!$B$25))-Premissas!$B$39)</f>
        <v>0</v>
      </c>
      <c r="K5" s="13" t="n">
        <f aca="false">IF($A5-(Premissas!$B$54+Premissas!$B$57)&gt;=1,INDEX($G$5:$G$94,$A5-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5" s="13" t="n">
        <f aca="false">IF($A5-(Premissas!$B$54+Premissas!$B$55)&gt;=1,INDEX($G$5:$G$94,$A5-(Premissas!$B$54+Premissas!$B$55)),0)*Unitário!$B$21*(Premissas!$B$51-(1-Premissas!$B$61)*Unitário!$B$24-(1-Premissas!$B$63)*Unitário!$B$25-(1-Premissas!$B$59)*Unitário!$B$22)</f>
        <v>0</v>
      </c>
      <c r="M5" s="13" t="n">
        <f aca="false">IF($A5-(Premissas!$B$56)&gt;=1,INDEX($H$5:$H$94,$A5-(Premissas!$B$56)),0)*(Premissas!$B$52-Unitário!$B$27)</f>
        <v>112.9202365</v>
      </c>
      <c r="N5" s="13" t="n">
        <f aca="false">-IF($A5-(Premissas!$B$60)&gt;=1,INDEX($H$5:$H$94,$A5-(Premissas!$B$60)),0)*(Premissas!$B$59*Unitário!$B$22+Premissas!$B$31)</f>
        <v>-0</v>
      </c>
      <c r="O5" s="13" t="n">
        <f aca="false">IF($A5-(Premissas!$B$54+Premissas!$B$57)&gt;=1,INDEX($H$5:$H$94,$A5-(Premissas!$B$54+Premissas!$B$57)),0)*Premissas!$B$27*(-Premissas!$B$52-Premissas!$B$41+Unitário!$B$27+(1-Premissas!$B$62)*Premissas!$B$31+Premissas!$B$59*Unitário!$B$22)</f>
        <v>-0</v>
      </c>
      <c r="P5" s="13" t="n">
        <f aca="false">-Premissas!$B$42*(IF($A5-(Premissas!$B$54+Premissas!$B$55)&gt;=1,INDEX($G$5:$G$94,$A5-(Premissas!$B$54+Premissas!$B$55)),0)*Unitário!$B$21*Premissas!$B$51+IF($A5-(Premissas!$B$56)&gt;=1,INDEX($H$5:$H$94,$A5-(Premissas!$B$56)),0)*(1-Premissas!$B$27)*Premissas!$B$52)</f>
        <v>-0</v>
      </c>
      <c r="Q5" s="13" t="n">
        <f aca="false">-IF(AND(DAY(B5+Premissas!$B$15)=Premissas!$B$16,B5+Premissas!$B$15&gt;=DATE(YEAR(Premissas!$B$11),MONTH(Premissas!$B$11)+1,Premissas!$B$16)),Premissas!$B$43,0)-IF(OR(E5&lt;0,F5&lt;0,IF(AND(DAY(B5+Premissas!$B$15)=Premissas!$B$16,B5+Premissas!$B$15&gt;=DATE(YEAR(Premissas!$B$11),MONTH(Premissas!$B$11)+1,Premissas!$B$16)),Premissas!$B$43,0)&gt;0),Premissas!$B$67*Premissas!$B$68,0)</f>
        <v>-0</v>
      </c>
      <c r="R5" s="13" t="n">
        <f aca="false">E5+F5+SUM(I5:Q5)</f>
        <v>112.9202365</v>
      </c>
      <c r="S5" s="13" t="n">
        <f aca="false">R5</f>
        <v>112.9202365</v>
      </c>
      <c r="T5" s="16" t="n">
        <f aca="false">IF(AND($A5&gt;$B$100,S5&gt;=0),1,0)</f>
        <v>0</v>
      </c>
      <c r="U5" s="13" t="n">
        <f aca="false">S5-SUM($E$5:E5)-(1+Premissas!$B$17)*SUM($C$5:C5)</f>
        <v>56.0052365</v>
      </c>
      <c r="V5" s="13" t="n">
        <f aca="false">(G5+H5)*Premissas!$B$21</f>
        <v>0.133333333333333</v>
      </c>
      <c r="W5" s="16" t="n">
        <f aca="false">IF(V5&gt;0,DATE(YEAR(B5),MONTH(B5)+1,Premissas!$B$16)-Premissas!$B$11+1-Premissas!$B$15,0)</f>
        <v>36</v>
      </c>
      <c r="X5" s="13" t="n">
        <f aca="false">C5*(1+Premissas!$B$17)</f>
        <v>56.915</v>
      </c>
      <c r="Y5" s="13" t="n">
        <f aca="false">IF(OR(X5&gt;=Premissas!$B$13,B5=DATE(YEAR(B5),MONTH(B5)+1,0)),X5,0)</f>
        <v>0</v>
      </c>
      <c r="Z5" s="13" t="n">
        <f aca="false">C5/Premissas!$B$18*Premissas!$B$20</f>
        <v>9</v>
      </c>
      <c r="AA5" s="13" t="n">
        <f aca="false">IF(OR(Z5&gt;=Premissas!$B$14,B5=DATE(YEAR(B5),MONTH(B5)+1,0)),Z5,0)</f>
        <v>0</v>
      </c>
      <c r="AB5" s="16" t="n">
        <f aca="false">IF(AA5&gt;0,IF(DAY(B5)&lt;=Premissas!$B$12,DATE(YEAR(B5),MONTH(B5),Premissas!$B$16),DATE(YEAR(B5),MONTH(B5)+1,Premissas!$B$16))-Premissas!$B$11+1-Premissas!$B$15,0)</f>
        <v>0</v>
      </c>
    </row>
    <row r="6" customFormat="false" ht="15" hidden="false" customHeight="true" outlineLevel="0" collapsed="false">
      <c r="A6" s="16" t="n">
        <v>2</v>
      </c>
      <c r="B6" s="31" t="n">
        <f aca="false">Premissas!$B$11+A6-1</f>
        <v>46319</v>
      </c>
      <c r="C6" s="13" t="n">
        <f aca="false">IF(A6&lt;=Premissas!$B$7,Premissas!$B$6/Premissas!$B$7,IF(A6&lt;=Premissas!$B$7+Premissas!$B$8,0,IF(A6&lt;=Premissas!$B$7+Premissas!$B$8+Premissas!$B$10,Premissas!$B$9/Premissas!$B$10,0)))</f>
        <v>50</v>
      </c>
      <c r="D6" s="16" t="n">
        <f aca="false">IF(Y6&gt;0,IF(DAY(B6)&lt;=Premissas!$B$12,DATE(YEAR(B6),MONTH(B6),Premissas!$B$16),DATE(YEAR(B6),MONTH(B6)+1,Premissas!$B$16))-Premissas!$B$11+1-Premissas!$B$15,0)</f>
        <v>36</v>
      </c>
      <c r="E6" s="13" t="n">
        <f aca="false">-SUMIF($D$5:$D$94,A6,$Y$5:$Y$94)</f>
        <v>-0</v>
      </c>
      <c r="F6" s="13" t="n">
        <f aca="false">-SUMIF($W$5:$W$94,A6,$V$5:$V$94)-SUMIF($AB$5:$AB$94,A6,$AA$5:$AA$94)</f>
        <v>-0</v>
      </c>
      <c r="G6" s="30" t="n">
        <f aca="false">C6/Premissas!$B$18*Premissas!$B$19*Premissas!$B$23</f>
        <v>2.33333333333333</v>
      </c>
      <c r="H6" s="30" t="n">
        <f aca="false">C6/Premissas!$B$18*Premissas!$B$19*Premissas!$B$24</f>
        <v>1</v>
      </c>
      <c r="I6" s="13" t="n">
        <f aca="false">-IF($A6-(Premissas!$B$60)&gt;=1,INDEX($G$5:$G$94,$A6-(Premissas!$B$60)),0)*(Premissas!$B$59*Unitário!$B$22+(Premissas!$B$61*Unitário!$B$24+Premissas!$B$63*Unitário!$B$25))</f>
        <v>-146.337821</v>
      </c>
      <c r="J6" s="13" t="n">
        <f aca="false">IF($A6-(Premissas!$B$54)&gt;=1,INDEX($G$5:$G$94,$A6-(Premissas!$B$54)),0)*Premissas!$B$26*((Premissas!$B$59*Unitário!$B$22+(Premissas!$B$61*Unitário!$B$24+Premissas!$B$63*Unitário!$B$25))-Premissas!$B$39)</f>
        <v>0</v>
      </c>
      <c r="K6" s="13" t="n">
        <f aca="false">IF($A6-(Premissas!$B$54+Premissas!$B$57)&gt;=1,INDEX($G$5:$G$94,$A6-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6" s="13" t="n">
        <f aca="false">IF($A6-(Premissas!$B$54+Premissas!$B$55)&gt;=1,INDEX($G$5:$G$94,$A6-(Premissas!$B$54+Premissas!$B$55)),0)*Unitário!$B$21*(Premissas!$B$51-(1-Premissas!$B$61)*Unitário!$B$24-(1-Premissas!$B$63)*Unitário!$B$25-(1-Premissas!$B$59)*Unitário!$B$22)</f>
        <v>0</v>
      </c>
      <c r="M6" s="13" t="n">
        <f aca="false">IF($A6-(Premissas!$B$56)&gt;=1,INDEX($H$5:$H$94,$A6-(Premissas!$B$56)),0)*(Premissas!$B$52-Unitário!$B$27)</f>
        <v>112.9202365</v>
      </c>
      <c r="N6" s="13" t="n">
        <f aca="false">-IF($A6-(Premissas!$B$60)&gt;=1,INDEX($H$5:$H$94,$A6-(Premissas!$B$60)),0)*(Premissas!$B$59*Unitário!$B$22+Premissas!$B$31)</f>
        <v>-35</v>
      </c>
      <c r="O6" s="13" t="n">
        <f aca="false">IF($A6-(Premissas!$B$54+Premissas!$B$57)&gt;=1,INDEX($H$5:$H$94,$A6-(Premissas!$B$54+Premissas!$B$57)),0)*Premissas!$B$27*(-Premissas!$B$52-Premissas!$B$41+Unitário!$B$27+(1-Premissas!$B$62)*Premissas!$B$31+Premissas!$B$59*Unitário!$B$22)</f>
        <v>-0</v>
      </c>
      <c r="P6" s="13" t="n">
        <f aca="false">-Premissas!$B$42*(IF($A6-(Premissas!$B$54+Premissas!$B$55)&gt;=1,INDEX($G$5:$G$94,$A6-(Premissas!$B$54+Premissas!$B$55)),0)*Unitário!$B$21*Premissas!$B$51+IF($A6-(Premissas!$B$56)&gt;=1,INDEX($H$5:$H$94,$A6-(Premissas!$B$56)),0)*(1-Premissas!$B$27)*Premissas!$B$52)</f>
        <v>-0</v>
      </c>
      <c r="Q6" s="13" t="n">
        <f aca="false">-IF(AND(DAY(B6+Premissas!$B$15)=Premissas!$B$16,B6+Premissas!$B$15&gt;=DATE(YEAR(Premissas!$B$11),MONTH(Premissas!$B$11)+1,Premissas!$B$16)),Premissas!$B$43,0)-IF(OR(E6&lt;0,F6&lt;0,IF(AND(DAY(B6+Premissas!$B$15)=Premissas!$B$16,B6+Premissas!$B$15&gt;=DATE(YEAR(Premissas!$B$11),MONTH(Premissas!$B$11)+1,Premissas!$B$16)),Premissas!$B$43,0)&gt;0),Premissas!$B$67*Premissas!$B$68,0)</f>
        <v>-0</v>
      </c>
      <c r="R6" s="13" t="n">
        <f aca="false">E6+F6+SUM(I6:Q6)</f>
        <v>-68.4175845</v>
      </c>
      <c r="S6" s="13" t="n">
        <f aca="false">S5+R6</f>
        <v>44.502652</v>
      </c>
      <c r="T6" s="16" t="n">
        <f aca="false">IF(AND($A6&gt;$B$100,S6&gt;=0),1,0)</f>
        <v>0</v>
      </c>
      <c r="U6" s="13" t="n">
        <f aca="false">S6-SUM($E$5:E6)-(1+Premissas!$B$17)*SUM($C$5:C6)</f>
        <v>-69.327348</v>
      </c>
      <c r="V6" s="13" t="n">
        <f aca="false">(G6+H6)*Premissas!$B$21</f>
        <v>0.133333333333333</v>
      </c>
      <c r="W6" s="16" t="n">
        <f aca="false">IF(V6&gt;0,DATE(YEAR(B6),MONTH(B6)+1,Premissas!$B$16)-Premissas!$B$11+1-Premissas!$B$15,0)</f>
        <v>36</v>
      </c>
      <c r="X6" s="13" t="n">
        <f aca="false">X5-Y5+C6*(1+Premissas!$B$17)</f>
        <v>113.83</v>
      </c>
      <c r="Y6" s="13" t="n">
        <f aca="false">IF(OR(X6&gt;=Premissas!$B$13,B6=DATE(YEAR(B6),MONTH(B6)+1,0)),X6,0)</f>
        <v>113.83</v>
      </c>
      <c r="Z6" s="13" t="n">
        <f aca="false">Z5-AA5+C6/Premissas!$B$18*Premissas!$B$20</f>
        <v>18</v>
      </c>
      <c r="AA6" s="13" t="n">
        <f aca="false">IF(OR(Z6&gt;=Premissas!$B$14,B6=DATE(YEAR(B6),MONTH(B6)+1,0)),Z6,0)</f>
        <v>0</v>
      </c>
      <c r="AB6" s="16" t="n">
        <f aca="false">IF(AA6&gt;0,IF(DAY(B6)&lt;=Premissas!$B$12,DATE(YEAR(B6),MONTH(B6),Premissas!$B$16),DATE(YEAR(B6),MONTH(B6)+1,Premissas!$B$16))-Premissas!$B$11+1-Premissas!$B$15,0)</f>
        <v>0</v>
      </c>
    </row>
    <row r="7" customFormat="false" ht="15" hidden="false" customHeight="true" outlineLevel="0" collapsed="false">
      <c r="A7" s="16" t="n">
        <v>3</v>
      </c>
      <c r="B7" s="31" t="n">
        <f aca="false">Premissas!$B$11+A7-1</f>
        <v>46320</v>
      </c>
      <c r="C7" s="13" t="n">
        <f aca="false">IF(A7&lt;=Premissas!$B$7,Premissas!$B$6/Premissas!$B$7,IF(A7&lt;=Premissas!$B$7+Premissas!$B$8,0,IF(A7&lt;=Premissas!$B$7+Premissas!$B$8+Premissas!$B$10,Premissas!$B$9/Premissas!$B$10,0)))</f>
        <v>50</v>
      </c>
      <c r="D7" s="16" t="n">
        <f aca="false">IF(Y7&gt;0,IF(DAY(B7)&lt;=Premissas!$B$12,DATE(YEAR(B7),MONTH(B7),Premissas!$B$16),DATE(YEAR(B7),MONTH(B7)+1,Premissas!$B$16))-Premissas!$B$11+1-Premissas!$B$15,0)</f>
        <v>0</v>
      </c>
      <c r="E7" s="13" t="n">
        <f aca="false">-SUMIF($D$5:$D$94,A7,$Y$5:$Y$94)</f>
        <v>-0</v>
      </c>
      <c r="F7" s="13" t="n">
        <f aca="false">-SUMIF($W$5:$W$94,A7,$V$5:$V$94)-SUMIF($AB$5:$AB$94,A7,$AA$5:$AA$94)</f>
        <v>-0</v>
      </c>
      <c r="G7" s="30" t="n">
        <f aca="false">C7/Premissas!$B$18*Premissas!$B$19*Premissas!$B$23</f>
        <v>2.33333333333333</v>
      </c>
      <c r="H7" s="30" t="n">
        <f aca="false">C7/Premissas!$B$18*Premissas!$B$19*Premissas!$B$24</f>
        <v>1</v>
      </c>
      <c r="I7" s="13" t="n">
        <f aca="false">-IF($A7-(Premissas!$B$60)&gt;=1,INDEX($G$5:$G$94,$A7-(Premissas!$B$60)),0)*(Premissas!$B$59*Unitário!$B$22+(Premissas!$B$61*Unitário!$B$24+Premissas!$B$63*Unitário!$B$25))</f>
        <v>-146.337821</v>
      </c>
      <c r="J7" s="13" t="n">
        <f aca="false">IF($A7-(Premissas!$B$54)&gt;=1,INDEX($G$5:$G$94,$A7-(Premissas!$B$54)),0)*Premissas!$B$26*((Premissas!$B$59*Unitário!$B$22+(Premissas!$B$61*Unitário!$B$24+Premissas!$B$63*Unitário!$B$25))-Premissas!$B$39)</f>
        <v>20.91472957</v>
      </c>
      <c r="K7" s="13" t="n">
        <f aca="false">IF($A7-(Premissas!$B$54+Premissas!$B$57)&gt;=1,INDEX($G$5:$G$94,$A7-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7" s="13" t="n">
        <f aca="false">IF($A7-(Premissas!$B$54+Premissas!$B$55)&gt;=1,INDEX($G$5:$G$94,$A7-(Premissas!$B$54+Premissas!$B$55)),0)*Unitário!$B$21*(Premissas!$B$51-(1-Premissas!$B$61)*Unitário!$B$24-(1-Premissas!$B$63)*Unitário!$B$25-(1-Premissas!$B$59)*Unitário!$B$22)</f>
        <v>0</v>
      </c>
      <c r="M7" s="13" t="n">
        <f aca="false">IF($A7-(Premissas!$B$56)&gt;=1,INDEX($H$5:$H$94,$A7-(Premissas!$B$56)),0)*(Premissas!$B$52-Unitário!$B$27)</f>
        <v>112.9202365</v>
      </c>
      <c r="N7" s="13" t="n">
        <f aca="false">-IF($A7-(Premissas!$B$60)&gt;=1,INDEX($H$5:$H$94,$A7-(Premissas!$B$60)),0)*(Premissas!$B$59*Unitário!$B$22+Premissas!$B$31)</f>
        <v>-35</v>
      </c>
      <c r="O7" s="13" t="n">
        <f aca="false">IF($A7-(Premissas!$B$54+Premissas!$B$57)&gt;=1,INDEX($H$5:$H$94,$A7-(Premissas!$B$54+Premissas!$B$57)),0)*Premissas!$B$27*(-Premissas!$B$52-Premissas!$B$41+Unitário!$B$27+(1-Premissas!$B$62)*Premissas!$B$31+Premissas!$B$59*Unitário!$B$22)</f>
        <v>-0</v>
      </c>
      <c r="P7" s="13" t="n">
        <f aca="false">-Premissas!$B$42*(IF($A7-(Premissas!$B$54+Premissas!$B$55)&gt;=1,INDEX($G$5:$G$94,$A7-(Premissas!$B$54+Premissas!$B$55)),0)*Unitário!$B$21*Premissas!$B$51+IF($A7-(Premissas!$B$56)&gt;=1,INDEX($H$5:$H$94,$A7-(Premissas!$B$56)),0)*(1-Premissas!$B$27)*Premissas!$B$52)</f>
        <v>-0</v>
      </c>
      <c r="Q7" s="13" t="n">
        <f aca="false">-IF(AND(DAY(B7+Premissas!$B$15)=Premissas!$B$16,B7+Premissas!$B$15&gt;=DATE(YEAR(Premissas!$B$11),MONTH(Premissas!$B$11)+1,Premissas!$B$16)),Premissas!$B$43,0)-IF(OR(E7&lt;0,F7&lt;0,IF(AND(DAY(B7+Premissas!$B$15)=Premissas!$B$16,B7+Premissas!$B$15&gt;=DATE(YEAR(Premissas!$B$11),MONTH(Premissas!$B$11)+1,Premissas!$B$16)),Premissas!$B$43,0)&gt;0),Premissas!$B$67*Premissas!$B$68,0)</f>
        <v>-0</v>
      </c>
      <c r="R7" s="13" t="n">
        <f aca="false">E7+F7+SUM(I7:Q7)</f>
        <v>-47.50285493</v>
      </c>
      <c r="S7" s="13" t="n">
        <f aca="false">S6+R7</f>
        <v>-3.00020292999997</v>
      </c>
      <c r="T7" s="16" t="n">
        <f aca="false">IF(AND($A7&gt;$B$100,S7&gt;=0),1,0)</f>
        <v>0</v>
      </c>
      <c r="U7" s="13" t="n">
        <f aca="false">S7-SUM($E$5:E7)-(1+Premissas!$B$17)*SUM($C$5:C7)</f>
        <v>-173.74520293</v>
      </c>
      <c r="V7" s="13" t="n">
        <f aca="false">(G7+H7)*Premissas!$B$21</f>
        <v>0.133333333333333</v>
      </c>
      <c r="W7" s="16" t="n">
        <f aca="false">IF(V7&gt;0,DATE(YEAR(B7),MONTH(B7)+1,Premissas!$B$16)-Premissas!$B$11+1-Premissas!$B$15,0)</f>
        <v>36</v>
      </c>
      <c r="X7" s="13" t="n">
        <f aca="false">X6-Y6+C7*(1+Premissas!$B$17)</f>
        <v>56.915</v>
      </c>
      <c r="Y7" s="13" t="n">
        <f aca="false">IF(OR(X7&gt;=Premissas!$B$13,B7=DATE(YEAR(B7),MONTH(B7)+1,0)),X7,0)</f>
        <v>0</v>
      </c>
      <c r="Z7" s="13" t="n">
        <f aca="false">Z6-AA6+C7/Premissas!$B$18*Premissas!$B$20</f>
        <v>27</v>
      </c>
      <c r="AA7" s="13" t="n">
        <f aca="false">IF(OR(Z7&gt;=Premissas!$B$14,B7=DATE(YEAR(B7),MONTH(B7)+1,0)),Z7,0)</f>
        <v>27</v>
      </c>
      <c r="AB7" s="16" t="n">
        <f aca="false">IF(AA7&gt;0,IF(DAY(B7)&lt;=Premissas!$B$12,DATE(YEAR(B7),MONTH(B7),Premissas!$B$16),DATE(YEAR(B7),MONTH(B7)+1,Premissas!$B$16))-Premissas!$B$11+1-Premissas!$B$15,0)</f>
        <v>36</v>
      </c>
    </row>
    <row r="8" customFormat="false" ht="15" hidden="false" customHeight="true" outlineLevel="0" collapsed="false">
      <c r="A8" s="16" t="n">
        <v>4</v>
      </c>
      <c r="B8" s="31" t="n">
        <f aca="false">Premissas!$B$11+A8-1</f>
        <v>46321</v>
      </c>
      <c r="C8" s="13" t="n">
        <f aca="false">IF(A8&lt;=Premissas!$B$7,Premissas!$B$6/Premissas!$B$7,IF(A8&lt;=Premissas!$B$7+Premissas!$B$8,0,IF(A8&lt;=Premissas!$B$7+Premissas!$B$8+Premissas!$B$10,Premissas!$B$9/Premissas!$B$10,0)))</f>
        <v>50</v>
      </c>
      <c r="D8" s="16" t="n">
        <f aca="false">IF(Y8&gt;0,IF(DAY(B8)&lt;=Premissas!$B$12,DATE(YEAR(B8),MONTH(B8),Premissas!$B$16),DATE(YEAR(B8),MONTH(B8)+1,Premissas!$B$16))-Premissas!$B$11+1-Premissas!$B$15,0)</f>
        <v>36</v>
      </c>
      <c r="E8" s="13" t="n">
        <f aca="false">-SUMIF($D$5:$D$94,A8,$Y$5:$Y$94)</f>
        <v>-0</v>
      </c>
      <c r="F8" s="13" t="n">
        <f aca="false">-SUMIF($W$5:$W$94,A8,$V$5:$V$94)-SUMIF($AB$5:$AB$94,A8,$AA$5:$AA$94)</f>
        <v>-0</v>
      </c>
      <c r="G8" s="30" t="n">
        <f aca="false">C8/Premissas!$B$18*Premissas!$B$19*Premissas!$B$23</f>
        <v>2.33333333333333</v>
      </c>
      <c r="H8" s="30" t="n">
        <f aca="false">C8/Premissas!$B$18*Premissas!$B$19*Premissas!$B$24</f>
        <v>1</v>
      </c>
      <c r="I8" s="13" t="n">
        <f aca="false">-IF($A8-(Premissas!$B$60)&gt;=1,INDEX($G$5:$G$94,$A8-(Premissas!$B$60)),0)*(Premissas!$B$59*Unitário!$B$22+(Premissas!$B$61*Unitário!$B$24+Premissas!$B$63*Unitário!$B$25))</f>
        <v>-146.337821</v>
      </c>
      <c r="J8" s="13" t="n">
        <f aca="false">IF($A8-(Premissas!$B$54)&gt;=1,INDEX($G$5:$G$94,$A8-(Premissas!$B$54)),0)*Premissas!$B$26*((Premissas!$B$59*Unitário!$B$22+(Premissas!$B$61*Unitário!$B$24+Premissas!$B$63*Unitário!$B$25))-Premissas!$B$39)</f>
        <v>20.91472957</v>
      </c>
      <c r="K8" s="13" t="n">
        <f aca="false">IF($A8-(Premissas!$B$54+Premissas!$B$57)&gt;=1,INDEX($G$5:$G$94,$A8-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8" s="13" t="n">
        <f aca="false">IF($A8-(Premissas!$B$54+Premissas!$B$55)&gt;=1,INDEX($G$5:$G$94,$A8-(Premissas!$B$54+Premissas!$B$55)),0)*Unitário!$B$21*(Premissas!$B$51-(1-Premissas!$B$61)*Unitário!$B$24-(1-Premissas!$B$63)*Unitário!$B$25-(1-Premissas!$B$59)*Unitário!$B$22)</f>
        <v>0</v>
      </c>
      <c r="M8" s="13" t="n">
        <f aca="false">IF($A8-(Premissas!$B$56)&gt;=1,INDEX($H$5:$H$94,$A8-(Premissas!$B$56)),0)*(Premissas!$B$52-Unitário!$B$27)</f>
        <v>112.9202365</v>
      </c>
      <c r="N8" s="13" t="n">
        <f aca="false">-IF($A8-(Premissas!$B$60)&gt;=1,INDEX($H$5:$H$94,$A8-(Premissas!$B$60)),0)*(Premissas!$B$59*Unitário!$B$22+Premissas!$B$31)</f>
        <v>-35</v>
      </c>
      <c r="O8" s="13" t="n">
        <f aca="false">IF($A8-(Premissas!$B$54+Premissas!$B$57)&gt;=1,INDEX($H$5:$H$94,$A8-(Premissas!$B$54+Premissas!$B$57)),0)*Premissas!$B$27*(-Premissas!$B$52-Premissas!$B$41+Unitário!$B$27+(1-Premissas!$B$62)*Premissas!$B$31+Premissas!$B$59*Unitário!$B$22)</f>
        <v>-0</v>
      </c>
      <c r="P8" s="13" t="n">
        <f aca="false">-Premissas!$B$42*(IF($A8-(Premissas!$B$54+Premissas!$B$55)&gt;=1,INDEX($G$5:$G$94,$A8-(Premissas!$B$54+Premissas!$B$55)),0)*Unitário!$B$21*Premissas!$B$51+IF($A8-(Premissas!$B$56)&gt;=1,INDEX($H$5:$H$94,$A8-(Premissas!$B$56)),0)*(1-Premissas!$B$27)*Premissas!$B$52)</f>
        <v>-0</v>
      </c>
      <c r="Q8" s="13" t="n">
        <f aca="false">-IF(AND(DAY(B8+Premissas!$B$15)=Premissas!$B$16,B8+Premissas!$B$15&gt;=DATE(YEAR(Premissas!$B$11),MONTH(Premissas!$B$11)+1,Premissas!$B$16)),Premissas!$B$43,0)-IF(OR(E8&lt;0,F8&lt;0,IF(AND(DAY(B8+Premissas!$B$15)=Premissas!$B$16,B8+Premissas!$B$15&gt;=DATE(YEAR(Premissas!$B$11),MONTH(Premissas!$B$11)+1,Premissas!$B$16)),Premissas!$B$43,0)&gt;0),Premissas!$B$67*Premissas!$B$68,0)</f>
        <v>-0</v>
      </c>
      <c r="R8" s="13" t="n">
        <f aca="false">E8+F8+SUM(I8:Q8)</f>
        <v>-47.50285493</v>
      </c>
      <c r="S8" s="13" t="n">
        <f aca="false">S7+R8</f>
        <v>-50.50305786</v>
      </c>
      <c r="T8" s="16" t="n">
        <f aca="false">IF(AND($A8&gt;$B$100,S8&gt;=0),1,0)</f>
        <v>0</v>
      </c>
      <c r="U8" s="13" t="n">
        <f aca="false">S8-SUM($E$5:E8)-(1+Premissas!$B$17)*SUM($C$5:C8)</f>
        <v>-278.16305786</v>
      </c>
      <c r="V8" s="13" t="n">
        <f aca="false">(G8+H8)*Premissas!$B$21</f>
        <v>0.133333333333333</v>
      </c>
      <c r="W8" s="16" t="n">
        <f aca="false">IF(V8&gt;0,DATE(YEAR(B8),MONTH(B8)+1,Premissas!$B$16)-Premissas!$B$11+1-Premissas!$B$15,0)</f>
        <v>36</v>
      </c>
      <c r="X8" s="13" t="n">
        <f aca="false">X7-Y7+C8*(1+Premissas!$B$17)</f>
        <v>113.83</v>
      </c>
      <c r="Y8" s="13" t="n">
        <f aca="false">IF(OR(X8&gt;=Premissas!$B$13,B8=DATE(YEAR(B8),MONTH(B8)+1,0)),X8,0)</f>
        <v>113.83</v>
      </c>
      <c r="Z8" s="13" t="n">
        <f aca="false">Z7-AA7+C8/Premissas!$B$18*Premissas!$B$20</f>
        <v>9</v>
      </c>
      <c r="AA8" s="13" t="n">
        <f aca="false">IF(OR(Z8&gt;=Premissas!$B$14,B8=DATE(YEAR(B8),MONTH(B8)+1,0)),Z8,0)</f>
        <v>0</v>
      </c>
      <c r="AB8" s="16" t="n">
        <f aca="false">IF(AA8&gt;0,IF(DAY(B8)&lt;=Premissas!$B$12,DATE(YEAR(B8),MONTH(B8),Premissas!$B$16),DATE(YEAR(B8),MONTH(B8)+1,Premissas!$B$16))-Premissas!$B$11+1-Premissas!$B$15,0)</f>
        <v>0</v>
      </c>
    </row>
    <row r="9" customFormat="false" ht="15" hidden="false" customHeight="true" outlineLevel="0" collapsed="false">
      <c r="A9" s="16" t="n">
        <v>5</v>
      </c>
      <c r="B9" s="31" t="n">
        <f aca="false">Premissas!$B$11+A9-1</f>
        <v>46322</v>
      </c>
      <c r="C9" s="13" t="n">
        <f aca="false">IF(A9&lt;=Premissas!$B$7,Premissas!$B$6/Premissas!$B$7,IF(A9&lt;=Premissas!$B$7+Premissas!$B$8,0,IF(A9&lt;=Premissas!$B$7+Premissas!$B$8+Premissas!$B$10,Premissas!$B$9/Premissas!$B$10,0)))</f>
        <v>50</v>
      </c>
      <c r="D9" s="16" t="n">
        <f aca="false">IF(Y9&gt;0,IF(DAY(B9)&lt;=Premissas!$B$12,DATE(YEAR(B9),MONTH(B9),Premissas!$B$16),DATE(YEAR(B9),MONTH(B9)+1,Premissas!$B$16))-Premissas!$B$11+1-Premissas!$B$15,0)</f>
        <v>0</v>
      </c>
      <c r="E9" s="13" t="n">
        <f aca="false">-SUMIF($D$5:$D$94,A9,$Y$5:$Y$94)</f>
        <v>-0</v>
      </c>
      <c r="F9" s="13" t="n">
        <f aca="false">-SUMIF($W$5:$W$94,A9,$V$5:$V$94)-SUMIF($AB$5:$AB$94,A9,$AA$5:$AA$94)</f>
        <v>-0</v>
      </c>
      <c r="G9" s="30" t="n">
        <f aca="false">C9/Premissas!$B$18*Premissas!$B$19*Premissas!$B$23</f>
        <v>2.33333333333333</v>
      </c>
      <c r="H9" s="30" t="n">
        <f aca="false">C9/Premissas!$B$18*Premissas!$B$19*Premissas!$B$24</f>
        <v>1</v>
      </c>
      <c r="I9" s="13" t="n">
        <f aca="false">-IF($A9-(Premissas!$B$60)&gt;=1,INDEX($G$5:$G$94,$A9-(Premissas!$B$60)),0)*(Premissas!$B$59*Unitário!$B$22+(Premissas!$B$61*Unitário!$B$24+Premissas!$B$63*Unitário!$B$25))</f>
        <v>-146.337821</v>
      </c>
      <c r="J9" s="13" t="n">
        <f aca="false">IF($A9-(Premissas!$B$54)&gt;=1,INDEX($G$5:$G$94,$A9-(Premissas!$B$54)),0)*Premissas!$B$26*((Premissas!$B$59*Unitário!$B$22+(Premissas!$B$61*Unitário!$B$24+Premissas!$B$63*Unitário!$B$25))-Premissas!$B$39)</f>
        <v>20.91472957</v>
      </c>
      <c r="K9" s="13" t="n">
        <f aca="false">IF($A9-(Premissas!$B$54+Premissas!$B$57)&gt;=1,INDEX($G$5:$G$94,$A9-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9" s="13" t="n">
        <f aca="false">IF($A9-(Premissas!$B$54+Premissas!$B$55)&gt;=1,INDEX($G$5:$G$94,$A9-(Premissas!$B$54+Premissas!$B$55)),0)*Unitário!$B$21*(Premissas!$B$51-(1-Premissas!$B$61)*Unitário!$B$24-(1-Premissas!$B$63)*Unitário!$B$25-(1-Premissas!$B$59)*Unitário!$B$22)</f>
        <v>0</v>
      </c>
      <c r="M9" s="13" t="n">
        <f aca="false">IF($A9-(Premissas!$B$56)&gt;=1,INDEX($H$5:$H$94,$A9-(Premissas!$B$56)),0)*(Premissas!$B$52-Unitário!$B$27)</f>
        <v>112.9202365</v>
      </c>
      <c r="N9" s="13" t="n">
        <f aca="false">-IF($A9-(Premissas!$B$60)&gt;=1,INDEX($H$5:$H$94,$A9-(Premissas!$B$60)),0)*(Premissas!$B$59*Unitário!$B$22+Premissas!$B$31)</f>
        <v>-35</v>
      </c>
      <c r="O9" s="13" t="n">
        <f aca="false">IF($A9-(Premissas!$B$54+Premissas!$B$57)&gt;=1,INDEX($H$5:$H$94,$A9-(Premissas!$B$54+Premissas!$B$57)),0)*Premissas!$B$27*(-Premissas!$B$52-Premissas!$B$41+Unitário!$B$27+(1-Premissas!$B$62)*Premissas!$B$31+Premissas!$B$59*Unitário!$B$22)</f>
        <v>-0</v>
      </c>
      <c r="P9" s="13" t="n">
        <f aca="false">-Premissas!$B$42*(IF($A9-(Premissas!$B$54+Premissas!$B$55)&gt;=1,INDEX($G$5:$G$94,$A9-(Premissas!$B$54+Premissas!$B$55)),0)*Unitário!$B$21*Premissas!$B$51+IF($A9-(Premissas!$B$56)&gt;=1,INDEX($H$5:$H$94,$A9-(Premissas!$B$56)),0)*(1-Premissas!$B$27)*Premissas!$B$52)</f>
        <v>-0</v>
      </c>
      <c r="Q9" s="13" t="n">
        <f aca="false">-IF(AND(DAY(B9+Premissas!$B$15)=Premissas!$B$16,B9+Premissas!$B$15&gt;=DATE(YEAR(Premissas!$B$11),MONTH(Premissas!$B$11)+1,Premissas!$B$16)),Premissas!$B$43,0)-IF(OR(E9&lt;0,F9&lt;0,IF(AND(DAY(B9+Premissas!$B$15)=Premissas!$B$16,B9+Premissas!$B$15&gt;=DATE(YEAR(Premissas!$B$11),MONTH(Premissas!$B$11)+1,Premissas!$B$16)),Premissas!$B$43,0)&gt;0),Premissas!$B$67*Premissas!$B$68,0)</f>
        <v>-0</v>
      </c>
      <c r="R9" s="13" t="n">
        <f aca="false">E9+F9+SUM(I9:Q9)</f>
        <v>-47.50285493</v>
      </c>
      <c r="S9" s="13" t="n">
        <f aca="false">S8+R9</f>
        <v>-98.00591279</v>
      </c>
      <c r="T9" s="16" t="n">
        <f aca="false">IF(AND($A9&gt;$B$100,S9&gt;=0),1,0)</f>
        <v>0</v>
      </c>
      <c r="U9" s="13" t="n">
        <f aca="false">S9-SUM($E$5:E9)-(1+Premissas!$B$17)*SUM($C$5:C9)</f>
        <v>-382.58091279</v>
      </c>
      <c r="V9" s="13" t="n">
        <f aca="false">(G9+H9)*Premissas!$B$21</f>
        <v>0.133333333333333</v>
      </c>
      <c r="W9" s="16" t="n">
        <f aca="false">IF(V9&gt;0,DATE(YEAR(B9),MONTH(B9)+1,Premissas!$B$16)-Premissas!$B$11+1-Premissas!$B$15,0)</f>
        <v>36</v>
      </c>
      <c r="X9" s="13" t="n">
        <f aca="false">X8-Y8+C9*(1+Premissas!$B$17)</f>
        <v>56.915</v>
      </c>
      <c r="Y9" s="13" t="n">
        <f aca="false">IF(OR(X9&gt;=Premissas!$B$13,B9=DATE(YEAR(B9),MONTH(B9)+1,0)),X9,0)</f>
        <v>0</v>
      </c>
      <c r="Z9" s="13" t="n">
        <f aca="false">Z8-AA8+C9/Premissas!$B$18*Premissas!$B$20</f>
        <v>18</v>
      </c>
      <c r="AA9" s="13" t="n">
        <f aca="false">IF(OR(Z9&gt;=Premissas!$B$14,B9=DATE(YEAR(B9),MONTH(B9)+1,0)),Z9,0)</f>
        <v>0</v>
      </c>
      <c r="AB9" s="16" t="n">
        <f aca="false">IF(AA9&gt;0,IF(DAY(B9)&lt;=Premissas!$B$12,DATE(YEAR(B9),MONTH(B9),Premissas!$B$16),DATE(YEAR(B9),MONTH(B9)+1,Premissas!$B$16))-Premissas!$B$11+1-Premissas!$B$15,0)</f>
        <v>0</v>
      </c>
    </row>
    <row r="10" customFormat="false" ht="15" hidden="false" customHeight="true" outlineLevel="0" collapsed="false">
      <c r="A10" s="16" t="n">
        <v>6</v>
      </c>
      <c r="B10" s="31" t="n">
        <f aca="false">Premissas!$B$11+A10-1</f>
        <v>46323</v>
      </c>
      <c r="C10" s="13" t="n">
        <f aca="false">IF(A10&lt;=Premissas!$B$7,Premissas!$B$6/Premissas!$B$7,IF(A10&lt;=Premissas!$B$7+Premissas!$B$8,0,IF(A10&lt;=Premissas!$B$7+Premissas!$B$8+Premissas!$B$10,Premissas!$B$9/Premissas!$B$10,0)))</f>
        <v>50</v>
      </c>
      <c r="D10" s="16" t="n">
        <f aca="false">IF(Y10&gt;0,IF(DAY(B10)&lt;=Premissas!$B$12,DATE(YEAR(B10),MONTH(B10),Premissas!$B$16),DATE(YEAR(B10),MONTH(B10)+1,Premissas!$B$16))-Premissas!$B$11+1-Premissas!$B$15,0)</f>
        <v>36</v>
      </c>
      <c r="E10" s="13" t="n">
        <f aca="false">-SUMIF($D$5:$D$94,A10,$Y$5:$Y$94)</f>
        <v>-0</v>
      </c>
      <c r="F10" s="13" t="n">
        <f aca="false">-SUMIF($W$5:$W$94,A10,$V$5:$V$94)-SUMIF($AB$5:$AB$94,A10,$AA$5:$AA$94)</f>
        <v>-0</v>
      </c>
      <c r="G10" s="30" t="n">
        <f aca="false">C10/Premissas!$B$18*Premissas!$B$19*Premissas!$B$23</f>
        <v>2.33333333333333</v>
      </c>
      <c r="H10" s="30" t="n">
        <f aca="false">C10/Premissas!$B$18*Premissas!$B$19*Premissas!$B$24</f>
        <v>1</v>
      </c>
      <c r="I10" s="13" t="n">
        <f aca="false">-IF($A10-(Premissas!$B$60)&gt;=1,INDEX($G$5:$G$94,$A10-(Premissas!$B$60)),0)*(Premissas!$B$59*Unitário!$B$22+(Premissas!$B$61*Unitário!$B$24+Premissas!$B$63*Unitário!$B$25))</f>
        <v>-146.337821</v>
      </c>
      <c r="J10" s="13" t="n">
        <f aca="false">IF($A10-(Premissas!$B$54)&gt;=1,INDEX($G$5:$G$94,$A10-(Premissas!$B$54)),0)*Premissas!$B$26*((Premissas!$B$59*Unitário!$B$22+(Premissas!$B$61*Unitário!$B$24+Premissas!$B$63*Unitário!$B$25))-Premissas!$B$39)</f>
        <v>20.91472957</v>
      </c>
      <c r="K10" s="13" t="n">
        <f aca="false">IF($A10-(Premissas!$B$54+Premissas!$B$57)&gt;=1,INDEX($G$5:$G$94,$A10-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10" s="13" t="n">
        <f aca="false">IF($A10-(Premissas!$B$54+Premissas!$B$55)&gt;=1,INDEX($G$5:$G$94,$A10-(Premissas!$B$54+Premissas!$B$55)),0)*Unitário!$B$21*(Premissas!$B$51-(1-Premissas!$B$61)*Unitário!$B$24-(1-Premissas!$B$63)*Unitário!$B$25-(1-Premissas!$B$59)*Unitário!$B$22)</f>
        <v>0</v>
      </c>
      <c r="M10" s="13" t="n">
        <f aca="false">IF($A10-(Premissas!$B$56)&gt;=1,INDEX($H$5:$H$94,$A10-(Premissas!$B$56)),0)*(Premissas!$B$52-Unitário!$B$27)</f>
        <v>112.9202365</v>
      </c>
      <c r="N10" s="13" t="n">
        <f aca="false">-IF($A10-(Premissas!$B$60)&gt;=1,INDEX($H$5:$H$94,$A10-(Premissas!$B$60)),0)*(Premissas!$B$59*Unitário!$B$22+Premissas!$B$31)</f>
        <v>-35</v>
      </c>
      <c r="O10" s="13" t="n">
        <f aca="false">IF($A10-(Premissas!$B$54+Premissas!$B$57)&gt;=1,INDEX($H$5:$H$94,$A10-(Premissas!$B$54+Premissas!$B$57)),0)*Premissas!$B$27*(-Premissas!$B$52-Premissas!$B$41+Unitário!$B$27+(1-Premissas!$B$62)*Premissas!$B$31+Premissas!$B$59*Unitário!$B$22)</f>
        <v>-0</v>
      </c>
      <c r="P10" s="13" t="n">
        <f aca="false">-Premissas!$B$42*(IF($A10-(Premissas!$B$54+Premissas!$B$55)&gt;=1,INDEX($G$5:$G$94,$A10-(Premissas!$B$54+Premissas!$B$55)),0)*Unitário!$B$21*Premissas!$B$51+IF($A10-(Premissas!$B$56)&gt;=1,INDEX($H$5:$H$94,$A10-(Premissas!$B$56)),0)*(1-Premissas!$B$27)*Premissas!$B$52)</f>
        <v>-0</v>
      </c>
      <c r="Q10" s="13" t="n">
        <f aca="false">-IF(AND(DAY(B10+Premissas!$B$15)=Premissas!$B$16,B10+Premissas!$B$15&gt;=DATE(YEAR(Premissas!$B$11),MONTH(Premissas!$B$11)+1,Premissas!$B$16)),Premissas!$B$43,0)-IF(OR(E10&lt;0,F10&lt;0,IF(AND(DAY(B10+Premissas!$B$15)=Premissas!$B$16,B10+Premissas!$B$15&gt;=DATE(YEAR(Premissas!$B$11),MONTH(Premissas!$B$11)+1,Premissas!$B$16)),Premissas!$B$43,0)&gt;0),Premissas!$B$67*Premissas!$B$68,0)</f>
        <v>-0</v>
      </c>
      <c r="R10" s="13" t="n">
        <f aca="false">E10+F10+SUM(I10:Q10)</f>
        <v>-47.50285493</v>
      </c>
      <c r="S10" s="13" t="n">
        <f aca="false">S9+R10</f>
        <v>-145.50876772</v>
      </c>
      <c r="T10" s="16" t="n">
        <f aca="false">IF(AND($A10&gt;$B$100,S10&gt;=0),1,0)</f>
        <v>0</v>
      </c>
      <c r="U10" s="13" t="n">
        <f aca="false">S10-SUM($E$5:E10)-(1+Premissas!$B$17)*SUM($C$5:C10)</f>
        <v>-486.99876772</v>
      </c>
      <c r="V10" s="13" t="n">
        <f aca="false">(G10+H10)*Premissas!$B$21</f>
        <v>0.133333333333333</v>
      </c>
      <c r="W10" s="16" t="n">
        <f aca="false">IF(V10&gt;0,DATE(YEAR(B10),MONTH(B10)+1,Premissas!$B$16)-Premissas!$B$11+1-Premissas!$B$15,0)</f>
        <v>36</v>
      </c>
      <c r="X10" s="13" t="n">
        <f aca="false">X9-Y9+C10*(1+Premissas!$B$17)</f>
        <v>113.83</v>
      </c>
      <c r="Y10" s="13" t="n">
        <f aca="false">IF(OR(X10&gt;=Premissas!$B$13,B10=DATE(YEAR(B10),MONTH(B10)+1,0)),X10,0)</f>
        <v>113.83</v>
      </c>
      <c r="Z10" s="13" t="n">
        <f aca="false">Z9-AA9+C10/Premissas!$B$18*Premissas!$B$20</f>
        <v>27</v>
      </c>
      <c r="AA10" s="13" t="n">
        <f aca="false">IF(OR(Z10&gt;=Premissas!$B$14,B10=DATE(YEAR(B10),MONTH(B10)+1,0)),Z10,0)</f>
        <v>27</v>
      </c>
      <c r="AB10" s="16" t="n">
        <f aca="false">IF(AA10&gt;0,IF(DAY(B10)&lt;=Premissas!$B$12,DATE(YEAR(B10),MONTH(B10),Premissas!$B$16),DATE(YEAR(B10),MONTH(B10)+1,Premissas!$B$16))-Premissas!$B$11+1-Premissas!$B$15,0)</f>
        <v>36</v>
      </c>
    </row>
    <row r="11" customFormat="false" ht="15" hidden="false" customHeight="true" outlineLevel="0" collapsed="false">
      <c r="A11" s="16" t="n">
        <v>7</v>
      </c>
      <c r="B11" s="31" t="n">
        <f aca="false">Premissas!$B$11+A11-1</f>
        <v>46324</v>
      </c>
      <c r="C11" s="13" t="n">
        <f aca="false">IF(A11&lt;=Premissas!$B$7,Premissas!$B$6/Premissas!$B$7,IF(A11&lt;=Premissas!$B$7+Premissas!$B$8,0,IF(A11&lt;=Premissas!$B$7+Premissas!$B$8+Premissas!$B$10,Premissas!$B$9/Premissas!$B$10,0)))</f>
        <v>50</v>
      </c>
      <c r="D11" s="16" t="n">
        <f aca="false">IF(Y11&gt;0,IF(DAY(B11)&lt;=Premissas!$B$12,DATE(YEAR(B11),MONTH(B11),Premissas!$B$16),DATE(YEAR(B11),MONTH(B11)+1,Premissas!$B$16))-Premissas!$B$11+1-Premissas!$B$15,0)</f>
        <v>0</v>
      </c>
      <c r="E11" s="13" t="n">
        <f aca="false">-SUMIF($D$5:$D$94,A11,$Y$5:$Y$94)</f>
        <v>-0</v>
      </c>
      <c r="F11" s="13" t="n">
        <f aca="false">-SUMIF($W$5:$W$94,A11,$V$5:$V$94)-SUMIF($AB$5:$AB$94,A11,$AA$5:$AA$94)</f>
        <v>-0</v>
      </c>
      <c r="G11" s="30" t="n">
        <f aca="false">C11/Premissas!$B$18*Premissas!$B$19*Premissas!$B$23</f>
        <v>2.33333333333333</v>
      </c>
      <c r="H11" s="30" t="n">
        <f aca="false">C11/Premissas!$B$18*Premissas!$B$19*Premissas!$B$24</f>
        <v>1</v>
      </c>
      <c r="I11" s="13" t="n">
        <f aca="false">-IF($A11-(Premissas!$B$60)&gt;=1,INDEX($G$5:$G$94,$A11-(Premissas!$B$60)),0)*(Premissas!$B$59*Unitário!$B$22+(Premissas!$B$61*Unitário!$B$24+Premissas!$B$63*Unitário!$B$25))</f>
        <v>-146.337821</v>
      </c>
      <c r="J11" s="13" t="n">
        <f aca="false">IF($A11-(Premissas!$B$54)&gt;=1,INDEX($G$5:$G$94,$A11-(Premissas!$B$54)),0)*Premissas!$B$26*((Premissas!$B$59*Unitário!$B$22+(Premissas!$B$61*Unitário!$B$24+Premissas!$B$63*Unitário!$B$25))-Premissas!$B$39)</f>
        <v>20.91472957</v>
      </c>
      <c r="K11" s="13" t="n">
        <f aca="false">IF($A11-(Premissas!$B$54+Premissas!$B$57)&gt;=1,INDEX($G$5:$G$94,$A11-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11" s="13" t="n">
        <f aca="false">IF($A11-(Premissas!$B$54+Premissas!$B$55)&gt;=1,INDEX($G$5:$G$94,$A11-(Premissas!$B$54+Premissas!$B$55)),0)*Unitário!$B$21*(Premissas!$B$51-(1-Premissas!$B$61)*Unitário!$B$24-(1-Premissas!$B$63)*Unitário!$B$25-(1-Premissas!$B$59)*Unitário!$B$22)</f>
        <v>0</v>
      </c>
      <c r="M11" s="13" t="n">
        <f aca="false">IF($A11-(Premissas!$B$56)&gt;=1,INDEX($H$5:$H$94,$A11-(Premissas!$B$56)),0)*(Premissas!$B$52-Unitário!$B$27)</f>
        <v>112.9202365</v>
      </c>
      <c r="N11" s="13" t="n">
        <f aca="false">-IF($A11-(Premissas!$B$60)&gt;=1,INDEX($H$5:$H$94,$A11-(Premissas!$B$60)),0)*(Premissas!$B$59*Unitário!$B$22+Premissas!$B$31)</f>
        <v>-35</v>
      </c>
      <c r="O11" s="13" t="n">
        <f aca="false">IF($A11-(Premissas!$B$54+Premissas!$B$57)&gt;=1,INDEX($H$5:$H$94,$A11-(Premissas!$B$54+Premissas!$B$57)),0)*Premissas!$B$27*(-Premissas!$B$52-Premissas!$B$41+Unitário!$B$27+(1-Premissas!$B$62)*Premissas!$B$31+Premissas!$B$59*Unitário!$B$22)</f>
        <v>-0</v>
      </c>
      <c r="P11" s="13" t="n">
        <f aca="false">-Premissas!$B$42*(IF($A11-(Premissas!$B$54+Premissas!$B$55)&gt;=1,INDEX($G$5:$G$94,$A11-(Premissas!$B$54+Premissas!$B$55)),0)*Unitário!$B$21*Premissas!$B$51+IF($A11-(Premissas!$B$56)&gt;=1,INDEX($H$5:$H$94,$A11-(Premissas!$B$56)),0)*(1-Premissas!$B$27)*Premissas!$B$52)</f>
        <v>-0</v>
      </c>
      <c r="Q11" s="13" t="n">
        <f aca="false">-IF(AND(DAY(B11+Premissas!$B$15)=Premissas!$B$16,B11+Premissas!$B$15&gt;=DATE(YEAR(Premissas!$B$11),MONTH(Premissas!$B$11)+1,Premissas!$B$16)),Premissas!$B$43,0)-IF(OR(E11&lt;0,F11&lt;0,IF(AND(DAY(B11+Premissas!$B$15)=Premissas!$B$16,B11+Premissas!$B$15&gt;=DATE(YEAR(Premissas!$B$11),MONTH(Premissas!$B$11)+1,Premissas!$B$16)),Premissas!$B$43,0)&gt;0),Premissas!$B$67*Premissas!$B$68,0)</f>
        <v>-0</v>
      </c>
      <c r="R11" s="13" t="n">
        <f aca="false">E11+F11+SUM(I11:Q11)</f>
        <v>-47.50285493</v>
      </c>
      <c r="S11" s="13" t="n">
        <f aca="false">S10+R11</f>
        <v>-193.01162265</v>
      </c>
      <c r="T11" s="16" t="n">
        <f aca="false">IF(AND($A11&gt;$B$100,S11&gt;=0),1,0)</f>
        <v>0</v>
      </c>
      <c r="U11" s="13" t="n">
        <f aca="false">S11-SUM($E$5:E11)-(1+Premissas!$B$17)*SUM($C$5:C11)</f>
        <v>-591.41662265</v>
      </c>
      <c r="V11" s="13" t="n">
        <f aca="false">(G11+H11)*Premissas!$B$21</f>
        <v>0.133333333333333</v>
      </c>
      <c r="W11" s="16" t="n">
        <f aca="false">IF(V11&gt;0,DATE(YEAR(B11),MONTH(B11)+1,Premissas!$B$16)-Premissas!$B$11+1-Premissas!$B$15,0)</f>
        <v>36</v>
      </c>
      <c r="X11" s="13" t="n">
        <f aca="false">X10-Y10+C11*(1+Premissas!$B$17)</f>
        <v>56.915</v>
      </c>
      <c r="Y11" s="13" t="n">
        <f aca="false">IF(OR(X11&gt;=Premissas!$B$13,B11=DATE(YEAR(B11),MONTH(B11)+1,0)),X11,0)</f>
        <v>0</v>
      </c>
      <c r="Z11" s="13" t="n">
        <f aca="false">Z10-AA10+C11/Premissas!$B$18*Premissas!$B$20</f>
        <v>9</v>
      </c>
      <c r="AA11" s="13" t="n">
        <f aca="false">IF(OR(Z11&gt;=Premissas!$B$14,B11=DATE(YEAR(B11),MONTH(B11)+1,0)),Z11,0)</f>
        <v>0</v>
      </c>
      <c r="AB11" s="16" t="n">
        <f aca="false">IF(AA11&gt;0,IF(DAY(B11)&lt;=Premissas!$B$12,DATE(YEAR(B11),MONTH(B11),Premissas!$B$16),DATE(YEAR(B11),MONTH(B11)+1,Premissas!$B$16))-Premissas!$B$11+1-Premissas!$B$15,0)</f>
        <v>0</v>
      </c>
    </row>
    <row r="12" customFormat="false" ht="15" hidden="false" customHeight="true" outlineLevel="0" collapsed="false">
      <c r="A12" s="16" t="n">
        <v>8</v>
      </c>
      <c r="B12" s="31" t="n">
        <f aca="false">Premissas!$B$11+A12-1</f>
        <v>46325</v>
      </c>
      <c r="C12" s="13" t="n">
        <f aca="false">IF(A12&lt;=Premissas!$B$7,Premissas!$B$6/Premissas!$B$7,IF(A12&lt;=Premissas!$B$7+Premissas!$B$8,0,IF(A12&lt;=Premissas!$B$7+Premissas!$B$8+Premissas!$B$10,Premissas!$B$9/Premissas!$B$10,0)))</f>
        <v>0</v>
      </c>
      <c r="D12" s="16" t="n">
        <f aca="false">IF(Y12&gt;0,IF(DAY(B12)&lt;=Premissas!$B$12,DATE(YEAR(B12),MONTH(B12),Premissas!$B$16),DATE(YEAR(B12),MONTH(B12)+1,Premissas!$B$16))-Premissas!$B$11+1-Premissas!$B$15,0)</f>
        <v>0</v>
      </c>
      <c r="E12" s="13" t="n">
        <f aca="false">-SUMIF($D$5:$D$94,A12,$Y$5:$Y$94)</f>
        <v>-0</v>
      </c>
      <c r="F12" s="13" t="n">
        <f aca="false">-SUMIF($W$5:$W$94,A12,$V$5:$V$94)-SUMIF($AB$5:$AB$94,A12,$AA$5:$AA$94)</f>
        <v>-0</v>
      </c>
      <c r="G12" s="30" t="n">
        <f aca="false">C12/Premissas!$B$18*Premissas!$B$19*Premissas!$B$23</f>
        <v>0</v>
      </c>
      <c r="H12" s="30" t="n">
        <f aca="false">C12/Premissas!$B$18*Premissas!$B$19*Premissas!$B$24</f>
        <v>0</v>
      </c>
      <c r="I12" s="13" t="n">
        <f aca="false">-IF($A12-(Premissas!$B$60)&gt;=1,INDEX($G$5:$G$94,$A12-(Premissas!$B$60)),0)*(Premissas!$B$59*Unitário!$B$22+(Premissas!$B$61*Unitário!$B$24+Premissas!$B$63*Unitário!$B$25))</f>
        <v>-146.337821</v>
      </c>
      <c r="J12" s="13" t="n">
        <f aca="false">IF($A12-(Premissas!$B$54)&gt;=1,INDEX($G$5:$G$94,$A12-(Premissas!$B$54)),0)*Premissas!$B$26*((Premissas!$B$59*Unitário!$B$22+(Premissas!$B$61*Unitário!$B$24+Premissas!$B$63*Unitário!$B$25))-Premissas!$B$39)</f>
        <v>20.91472957</v>
      </c>
      <c r="K12" s="13" t="n">
        <f aca="false">IF($A12-(Premissas!$B$54+Premissas!$B$57)&gt;=1,INDEX($G$5:$G$94,$A12-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12" s="13" t="n">
        <f aca="false">IF($A12-(Premissas!$B$54+Premissas!$B$55)&gt;=1,INDEX($G$5:$G$94,$A12-(Premissas!$B$54+Premissas!$B$55)),0)*Unitário!$B$21*(Premissas!$B$51-(1-Premissas!$B$61)*Unitário!$B$24-(1-Premissas!$B$63)*Unitário!$B$25-(1-Premissas!$B$59)*Unitário!$B$22)</f>
        <v>0</v>
      </c>
      <c r="M12" s="13" t="n">
        <f aca="false">IF($A12-(Premissas!$B$56)&gt;=1,INDEX($H$5:$H$94,$A12-(Premissas!$B$56)),0)*(Premissas!$B$52-Unitário!$B$27)</f>
        <v>0</v>
      </c>
      <c r="N12" s="13" t="n">
        <f aca="false">-IF($A12-(Premissas!$B$60)&gt;=1,INDEX($H$5:$H$94,$A12-(Premissas!$B$60)),0)*(Premissas!$B$59*Unitário!$B$22+Premissas!$B$31)</f>
        <v>-35</v>
      </c>
      <c r="O12" s="13" t="n">
        <f aca="false">IF($A12-(Premissas!$B$54+Premissas!$B$57)&gt;=1,INDEX($H$5:$H$94,$A12-(Premissas!$B$54+Premissas!$B$57)),0)*Premissas!$B$27*(-Premissas!$B$52-Premissas!$B$41+Unitário!$B$27+(1-Premissas!$B$62)*Premissas!$B$31+Premissas!$B$59*Unitário!$B$22)</f>
        <v>-0</v>
      </c>
      <c r="P12" s="13" t="n">
        <f aca="false">-Premissas!$B$42*(IF($A12-(Premissas!$B$54+Premissas!$B$55)&gt;=1,INDEX($G$5:$G$94,$A12-(Premissas!$B$54+Premissas!$B$55)),0)*Unitário!$B$21*Premissas!$B$51+IF($A12-(Premissas!$B$56)&gt;=1,INDEX($H$5:$H$94,$A12-(Premissas!$B$56)),0)*(1-Premissas!$B$27)*Premissas!$B$52)</f>
        <v>-0</v>
      </c>
      <c r="Q12" s="13" t="n">
        <f aca="false">-IF(AND(DAY(B12+Premissas!$B$15)=Premissas!$B$16,B12+Premissas!$B$15&gt;=DATE(YEAR(Premissas!$B$11),MONTH(Premissas!$B$11)+1,Premissas!$B$16)),Premissas!$B$43,0)-IF(OR(E12&lt;0,F12&lt;0,IF(AND(DAY(B12+Premissas!$B$15)=Premissas!$B$16,B12+Premissas!$B$15&gt;=DATE(YEAR(Premissas!$B$11),MONTH(Premissas!$B$11)+1,Premissas!$B$16)),Premissas!$B$43,0)&gt;0),Premissas!$B$67*Premissas!$B$68,0)</f>
        <v>-0</v>
      </c>
      <c r="R12" s="13" t="n">
        <f aca="false">E12+F12+SUM(I12:Q12)</f>
        <v>-160.42309143</v>
      </c>
      <c r="S12" s="13" t="n">
        <f aca="false">S11+R12</f>
        <v>-353.43471408</v>
      </c>
      <c r="T12" s="16" t="n">
        <f aca="false">IF(AND($A12&gt;$B$100,S12&gt;=0),1,0)</f>
        <v>0</v>
      </c>
      <c r="U12" s="13" t="n">
        <f aca="false">S12-SUM($E$5:E12)-(1+Premissas!$B$17)*SUM($C$5:C12)</f>
        <v>-751.83971408</v>
      </c>
      <c r="V12" s="13" t="n">
        <f aca="false">(G12+H12)*Premissas!$B$21</f>
        <v>0</v>
      </c>
      <c r="W12" s="16" t="n">
        <f aca="false">IF(V12&gt;0,DATE(YEAR(B12),MONTH(B12)+1,Premissas!$B$16)-Premissas!$B$11+1-Premissas!$B$15,0)</f>
        <v>0</v>
      </c>
      <c r="X12" s="13" t="n">
        <f aca="false">X11-Y11+C12*(1+Premissas!$B$17)</f>
        <v>56.915</v>
      </c>
      <c r="Y12" s="13" t="n">
        <f aca="false">IF(OR(X12&gt;=Premissas!$B$13,B12=DATE(YEAR(B12),MONTH(B12)+1,0)),X12,0)</f>
        <v>0</v>
      </c>
      <c r="Z12" s="13" t="n">
        <f aca="false">Z11-AA11+C12/Premissas!$B$18*Premissas!$B$20</f>
        <v>9</v>
      </c>
      <c r="AA12" s="13" t="n">
        <f aca="false">IF(OR(Z12&gt;=Premissas!$B$14,B12=DATE(YEAR(B12),MONTH(B12)+1,0)),Z12,0)</f>
        <v>0</v>
      </c>
      <c r="AB12" s="16" t="n">
        <f aca="false">IF(AA12&gt;0,IF(DAY(B12)&lt;=Premissas!$B$12,DATE(YEAR(B12),MONTH(B12),Premissas!$B$16),DATE(YEAR(B12),MONTH(B12)+1,Premissas!$B$16))-Premissas!$B$11+1-Premissas!$B$15,0)</f>
        <v>0</v>
      </c>
    </row>
    <row r="13" customFormat="false" ht="15" hidden="false" customHeight="true" outlineLevel="0" collapsed="false">
      <c r="A13" s="16" t="n">
        <v>9</v>
      </c>
      <c r="B13" s="31" t="n">
        <f aca="false">Premissas!$B$11+A13-1</f>
        <v>46326</v>
      </c>
      <c r="C13" s="13" t="n">
        <f aca="false">IF(A13&lt;=Premissas!$B$7,Premissas!$B$6/Premissas!$B$7,IF(A13&lt;=Premissas!$B$7+Premissas!$B$8,0,IF(A13&lt;=Premissas!$B$7+Premissas!$B$8+Premissas!$B$10,Premissas!$B$9/Premissas!$B$10,0)))</f>
        <v>0</v>
      </c>
      <c r="D13" s="16" t="n">
        <f aca="false">IF(Y13&gt;0,IF(DAY(B13)&lt;=Premissas!$B$12,DATE(YEAR(B13),MONTH(B13),Premissas!$B$16),DATE(YEAR(B13),MONTH(B13)+1,Premissas!$B$16))-Premissas!$B$11+1-Premissas!$B$15,0)</f>
        <v>36</v>
      </c>
      <c r="E13" s="13" t="n">
        <f aca="false">-SUMIF($D$5:$D$94,A13,$Y$5:$Y$94)</f>
        <v>-0</v>
      </c>
      <c r="F13" s="13" t="n">
        <f aca="false">-SUMIF($W$5:$W$94,A13,$V$5:$V$94)-SUMIF($AB$5:$AB$94,A13,$AA$5:$AA$94)</f>
        <v>-0</v>
      </c>
      <c r="G13" s="30" t="n">
        <f aca="false">C13/Premissas!$B$18*Premissas!$B$19*Premissas!$B$23</f>
        <v>0</v>
      </c>
      <c r="H13" s="30" t="n">
        <f aca="false">C13/Premissas!$B$18*Premissas!$B$19*Premissas!$B$24</f>
        <v>0</v>
      </c>
      <c r="I13" s="13" t="n">
        <f aca="false">-IF($A13-(Premissas!$B$60)&gt;=1,INDEX($G$5:$G$94,$A13-(Premissas!$B$60)),0)*(Premissas!$B$59*Unitário!$B$22+(Premissas!$B$61*Unitário!$B$24+Premissas!$B$63*Unitário!$B$25))</f>
        <v>-0</v>
      </c>
      <c r="J13" s="13" t="n">
        <f aca="false">IF($A13-(Premissas!$B$54)&gt;=1,INDEX($G$5:$G$94,$A13-(Premissas!$B$54)),0)*Premissas!$B$26*((Premissas!$B$59*Unitário!$B$22+(Premissas!$B$61*Unitário!$B$24+Premissas!$B$63*Unitário!$B$25))-Premissas!$B$39)</f>
        <v>20.91472957</v>
      </c>
      <c r="K13" s="13" t="n">
        <f aca="false">IF($A13-(Premissas!$B$54+Premissas!$B$57)&gt;=1,INDEX($G$5:$G$94,$A13-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13" s="13" t="n">
        <f aca="false">IF($A13-(Premissas!$B$54+Premissas!$B$55)&gt;=1,INDEX($G$5:$G$94,$A13-(Premissas!$B$54+Premissas!$B$55)),0)*Unitário!$B$21*(Premissas!$B$51-(1-Premissas!$B$61)*Unitário!$B$24-(1-Premissas!$B$63)*Unitário!$B$25-(1-Premissas!$B$59)*Unitário!$B$22)</f>
        <v>0</v>
      </c>
      <c r="M13" s="13" t="n">
        <f aca="false">IF($A13-(Premissas!$B$56)&gt;=1,INDEX($H$5:$H$94,$A13-(Premissas!$B$56)),0)*(Premissas!$B$52-Unitário!$B$27)</f>
        <v>0</v>
      </c>
      <c r="N13" s="13" t="n">
        <f aca="false">-IF($A13-(Premissas!$B$60)&gt;=1,INDEX($H$5:$H$94,$A13-(Premissas!$B$60)),0)*(Premissas!$B$59*Unitário!$B$22+Premissas!$B$31)</f>
        <v>-0</v>
      </c>
      <c r="O13" s="13" t="n">
        <f aca="false">IF($A13-(Premissas!$B$54+Premissas!$B$57)&gt;=1,INDEX($H$5:$H$94,$A13-(Premissas!$B$54+Premissas!$B$57)),0)*Premissas!$B$27*(-Premissas!$B$52-Premissas!$B$41+Unitário!$B$27+(1-Premissas!$B$62)*Premissas!$B$31+Premissas!$B$59*Unitário!$B$22)</f>
        <v>-0</v>
      </c>
      <c r="P13" s="13" t="n">
        <f aca="false">-Premissas!$B$42*(IF($A13-(Premissas!$B$54+Premissas!$B$55)&gt;=1,INDEX($G$5:$G$94,$A13-(Premissas!$B$54+Premissas!$B$55)),0)*Unitário!$B$21*Premissas!$B$51+IF($A13-(Premissas!$B$56)&gt;=1,INDEX($H$5:$H$94,$A13-(Premissas!$B$56)),0)*(1-Premissas!$B$27)*Premissas!$B$52)</f>
        <v>-0</v>
      </c>
      <c r="Q13" s="13" t="n">
        <f aca="false">-IF(AND(DAY(B13+Premissas!$B$15)=Premissas!$B$16,B13+Premissas!$B$15&gt;=DATE(YEAR(Premissas!$B$11),MONTH(Premissas!$B$11)+1,Premissas!$B$16)),Premissas!$B$43,0)-IF(OR(E13&lt;0,F13&lt;0,IF(AND(DAY(B13+Premissas!$B$15)=Premissas!$B$16,B13+Premissas!$B$15&gt;=DATE(YEAR(Premissas!$B$11),MONTH(Premissas!$B$11)+1,Premissas!$B$16)),Premissas!$B$43,0)&gt;0),Premissas!$B$67*Premissas!$B$68,0)</f>
        <v>-0</v>
      </c>
      <c r="R13" s="13" t="n">
        <f aca="false">E13+F13+SUM(I13:Q13)</f>
        <v>20.91472957</v>
      </c>
      <c r="S13" s="13" t="n">
        <f aca="false">S12+R13</f>
        <v>-332.51998451</v>
      </c>
      <c r="T13" s="16" t="n">
        <f aca="false">IF(AND($A13&gt;$B$100,S13&gt;=0),1,0)</f>
        <v>0</v>
      </c>
      <c r="U13" s="13" t="n">
        <f aca="false">S13-SUM($E$5:E13)-(1+Premissas!$B$17)*SUM($C$5:C13)</f>
        <v>-730.92498451</v>
      </c>
      <c r="V13" s="13" t="n">
        <f aca="false">(G13+H13)*Premissas!$B$21</f>
        <v>0</v>
      </c>
      <c r="W13" s="16" t="n">
        <f aca="false">IF(V13&gt;0,DATE(YEAR(B13),MONTH(B13)+1,Premissas!$B$16)-Premissas!$B$11+1-Premissas!$B$15,0)</f>
        <v>0</v>
      </c>
      <c r="X13" s="13" t="n">
        <f aca="false">X12-Y12+C13*(1+Premissas!$B$17)</f>
        <v>56.915</v>
      </c>
      <c r="Y13" s="13" t="n">
        <f aca="false">IF(OR(X13&gt;=Premissas!$B$13,B13=DATE(YEAR(B13),MONTH(B13)+1,0)),X13,0)</f>
        <v>56.915</v>
      </c>
      <c r="Z13" s="13" t="n">
        <f aca="false">Z12-AA12+C13/Premissas!$B$18*Premissas!$B$20</f>
        <v>9</v>
      </c>
      <c r="AA13" s="13" t="n">
        <f aca="false">IF(OR(Z13&gt;=Premissas!$B$14,B13=DATE(YEAR(B13),MONTH(B13)+1,0)),Z13,0)</f>
        <v>9</v>
      </c>
      <c r="AB13" s="16" t="n">
        <f aca="false">IF(AA13&gt;0,IF(DAY(B13)&lt;=Premissas!$B$12,DATE(YEAR(B13),MONTH(B13),Premissas!$B$16),DATE(YEAR(B13),MONTH(B13)+1,Premissas!$B$16))-Premissas!$B$11+1-Premissas!$B$15,0)</f>
        <v>36</v>
      </c>
    </row>
    <row r="14" customFormat="false" ht="15" hidden="false" customHeight="true" outlineLevel="0" collapsed="false">
      <c r="A14" s="16" t="n">
        <v>10</v>
      </c>
      <c r="B14" s="31" t="n">
        <f aca="false">Premissas!$B$11+A14-1</f>
        <v>46327</v>
      </c>
      <c r="C14" s="13" t="n">
        <f aca="false">IF(A14&lt;=Premissas!$B$7,Premissas!$B$6/Premissas!$B$7,IF(A14&lt;=Premissas!$B$7+Premissas!$B$8,0,IF(A14&lt;=Premissas!$B$7+Premissas!$B$8+Premissas!$B$10,Premissas!$B$9/Premissas!$B$10,0)))</f>
        <v>50</v>
      </c>
      <c r="D14" s="16" t="n">
        <f aca="false">IF(Y14&gt;0,IF(DAY(B14)&lt;=Premissas!$B$12,DATE(YEAR(B14),MONTH(B14),Premissas!$B$16),DATE(YEAR(B14),MONTH(B14)+1,Premissas!$B$16))-Premissas!$B$11+1-Premissas!$B$15,0)</f>
        <v>0</v>
      </c>
      <c r="E14" s="13" t="n">
        <f aca="false">-SUMIF($D$5:$D$94,A14,$Y$5:$Y$94)</f>
        <v>-0</v>
      </c>
      <c r="F14" s="13" t="n">
        <f aca="false">-SUMIF($W$5:$W$94,A14,$V$5:$V$94)-SUMIF($AB$5:$AB$94,A14,$AA$5:$AA$94)</f>
        <v>-0</v>
      </c>
      <c r="G14" s="30" t="n">
        <f aca="false">C14/Premissas!$B$18*Premissas!$B$19*Premissas!$B$23</f>
        <v>2.33333333333333</v>
      </c>
      <c r="H14" s="30" t="n">
        <f aca="false">C14/Premissas!$B$18*Premissas!$B$19*Premissas!$B$24</f>
        <v>1</v>
      </c>
      <c r="I14" s="13" t="n">
        <f aca="false">-IF($A14-(Premissas!$B$60)&gt;=1,INDEX($G$5:$G$94,$A14-(Premissas!$B$60)),0)*(Premissas!$B$59*Unitário!$B$22+(Premissas!$B$61*Unitário!$B$24+Premissas!$B$63*Unitário!$B$25))</f>
        <v>-0</v>
      </c>
      <c r="J14" s="13" t="n">
        <f aca="false">IF($A14-(Premissas!$B$54)&gt;=1,INDEX($G$5:$G$94,$A14-(Premissas!$B$54)),0)*Premissas!$B$26*((Premissas!$B$59*Unitário!$B$22+(Premissas!$B$61*Unitário!$B$24+Premissas!$B$63*Unitário!$B$25))-Premissas!$B$39)</f>
        <v>0</v>
      </c>
      <c r="K14" s="13" t="n">
        <f aca="false">IF($A14-(Premissas!$B$54+Premissas!$B$57)&gt;=1,INDEX($G$5:$G$94,$A14-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6.336039143</v>
      </c>
      <c r="L14" s="13" t="n">
        <f aca="false">IF($A14-(Premissas!$B$54+Premissas!$B$55)&gt;=1,INDEX($G$5:$G$94,$A14-(Premissas!$B$54+Premissas!$B$55)),0)*Unitário!$B$21*(Premissas!$B$51-(1-Premissas!$B$61)*Unitário!$B$24-(1-Premissas!$B$63)*Unitário!$B$25-(1-Premissas!$B$59)*Unitário!$B$22)</f>
        <v>0</v>
      </c>
      <c r="M14" s="13" t="n">
        <f aca="false">IF($A14-(Premissas!$B$56)&gt;=1,INDEX($H$5:$H$94,$A14-(Premissas!$B$56)),0)*(Premissas!$B$52-Unitário!$B$27)</f>
        <v>112.9202365</v>
      </c>
      <c r="N14" s="13" t="n">
        <f aca="false">-IF($A14-(Premissas!$B$60)&gt;=1,INDEX($H$5:$H$94,$A14-(Premissas!$B$60)),0)*(Premissas!$B$59*Unitário!$B$22+Premissas!$B$31)</f>
        <v>-0</v>
      </c>
      <c r="O14" s="13" t="n">
        <f aca="false">IF($A14-(Premissas!$B$54+Premissas!$B$57)&gt;=1,INDEX($H$5:$H$94,$A14-(Premissas!$B$54+Premissas!$B$57)),0)*Premissas!$B$27*(-Premissas!$B$52-Premissas!$B$41+Unitário!$B$27+(1-Premissas!$B$62)*Premissas!$B$31+Premissas!$B$59*Unitário!$B$22)</f>
        <v>-12.79202365</v>
      </c>
      <c r="P14" s="13" t="n">
        <f aca="false">-Premissas!$B$42*(IF($A14-(Premissas!$B$54+Premissas!$B$55)&gt;=1,INDEX($G$5:$G$94,$A14-(Premissas!$B$54+Premissas!$B$55)),0)*Unitário!$B$21*Premissas!$B$51+IF($A14-(Premissas!$B$56)&gt;=1,INDEX($H$5:$H$94,$A14-(Premissas!$B$56)),0)*(1-Premissas!$B$27)*Premissas!$B$52)</f>
        <v>-0</v>
      </c>
      <c r="Q14" s="13" t="n">
        <f aca="false">-IF(AND(DAY(B14+Premissas!$B$15)=Premissas!$B$16,B14+Premissas!$B$15&gt;=DATE(YEAR(Premissas!$B$11),MONTH(Premissas!$B$11)+1,Premissas!$B$16)),Premissas!$B$43,0)-IF(OR(E14&lt;0,F14&lt;0,IF(AND(DAY(B14+Premissas!$B$15)=Premissas!$B$16,B14+Premissas!$B$15&gt;=DATE(YEAR(Premissas!$B$11),MONTH(Premissas!$B$11)+1,Premissas!$B$16)),Premissas!$B$43,0)&gt;0),Premissas!$B$67*Premissas!$B$68,0)</f>
        <v>-0</v>
      </c>
      <c r="R14" s="13" t="n">
        <f aca="false">E14+F14+SUM(I14:Q14)</f>
        <v>106.464251993</v>
      </c>
      <c r="S14" s="13" t="n">
        <f aca="false">S13+R14</f>
        <v>-226.055732517</v>
      </c>
      <c r="T14" s="16" t="n">
        <f aca="false">IF(AND($A14&gt;$B$100,S14&gt;=0),1,0)</f>
        <v>0</v>
      </c>
      <c r="U14" s="13" t="n">
        <f aca="false">S14-SUM($E$5:E14)-(1+Premissas!$B$17)*SUM($C$5:C14)</f>
        <v>-681.375732517</v>
      </c>
      <c r="V14" s="13" t="n">
        <f aca="false">(G14+H14)*Premissas!$B$21</f>
        <v>0.133333333333333</v>
      </c>
      <c r="W14" s="16" t="n">
        <f aca="false">IF(V14&gt;0,DATE(YEAR(B14),MONTH(B14)+1,Premissas!$B$16)-Premissas!$B$11+1-Premissas!$B$15,0)</f>
        <v>66</v>
      </c>
      <c r="X14" s="13" t="n">
        <f aca="false">X13-Y13+C14*(1+Premissas!$B$17)</f>
        <v>56.915</v>
      </c>
      <c r="Y14" s="13" t="n">
        <f aca="false">IF(OR(X14&gt;=Premissas!$B$13,B14=DATE(YEAR(B14),MONTH(B14)+1,0)),X14,0)</f>
        <v>0</v>
      </c>
      <c r="Z14" s="13" t="n">
        <f aca="false">Z13-AA13+C14/Premissas!$B$18*Premissas!$B$20</f>
        <v>9</v>
      </c>
      <c r="AA14" s="13" t="n">
        <f aca="false">IF(OR(Z14&gt;=Premissas!$B$14,B14=DATE(YEAR(B14),MONTH(B14)+1,0)),Z14,0)</f>
        <v>0</v>
      </c>
      <c r="AB14" s="16" t="n">
        <f aca="false">IF(AA14&gt;0,IF(DAY(B14)&lt;=Premissas!$B$12,DATE(YEAR(B14),MONTH(B14),Premissas!$B$16),DATE(YEAR(B14),MONTH(B14)+1,Premissas!$B$16))-Premissas!$B$11+1-Premissas!$B$15,0)</f>
        <v>0</v>
      </c>
    </row>
    <row r="15" customFormat="false" ht="15" hidden="false" customHeight="true" outlineLevel="0" collapsed="false">
      <c r="A15" s="16" t="n">
        <v>11</v>
      </c>
      <c r="B15" s="31" t="n">
        <f aca="false">Premissas!$B$11+A15-1</f>
        <v>46328</v>
      </c>
      <c r="C15" s="13" t="n">
        <f aca="false">IF(A15&lt;=Premissas!$B$7,Premissas!$B$6/Premissas!$B$7,IF(A15&lt;=Premissas!$B$7+Premissas!$B$8,0,IF(A15&lt;=Premissas!$B$7+Premissas!$B$8+Premissas!$B$10,Premissas!$B$9/Premissas!$B$10,0)))</f>
        <v>50</v>
      </c>
      <c r="D15" s="16" t="n">
        <f aca="false">IF(Y15&gt;0,IF(DAY(B15)&lt;=Premissas!$B$12,DATE(YEAR(B15),MONTH(B15),Premissas!$B$16),DATE(YEAR(B15),MONTH(B15)+1,Premissas!$B$16))-Premissas!$B$11+1-Premissas!$B$15,0)</f>
        <v>36</v>
      </c>
      <c r="E15" s="13" t="n">
        <f aca="false">-SUMIF($D$5:$D$94,A15,$Y$5:$Y$94)</f>
        <v>-0</v>
      </c>
      <c r="F15" s="13" t="n">
        <f aca="false">-SUMIF($W$5:$W$94,A15,$V$5:$V$94)-SUMIF($AB$5:$AB$94,A15,$AA$5:$AA$94)</f>
        <v>-0</v>
      </c>
      <c r="G15" s="30" t="n">
        <f aca="false">C15/Premissas!$B$18*Premissas!$B$19*Premissas!$B$23</f>
        <v>2.33333333333333</v>
      </c>
      <c r="H15" s="30" t="n">
        <f aca="false">C15/Premissas!$B$18*Premissas!$B$19*Premissas!$B$24</f>
        <v>1</v>
      </c>
      <c r="I15" s="13" t="n">
        <f aca="false">-IF($A15-(Premissas!$B$60)&gt;=1,INDEX($G$5:$G$94,$A15-(Premissas!$B$60)),0)*(Premissas!$B$59*Unitário!$B$22+(Premissas!$B$61*Unitário!$B$24+Premissas!$B$63*Unitário!$B$25))</f>
        <v>-146.337821</v>
      </c>
      <c r="J15" s="13" t="n">
        <f aca="false">IF($A15-(Premissas!$B$54)&gt;=1,INDEX($G$5:$G$94,$A15-(Premissas!$B$54)),0)*Premissas!$B$26*((Premissas!$B$59*Unitário!$B$22+(Premissas!$B$61*Unitário!$B$24+Premissas!$B$63*Unitário!$B$25))-Premissas!$B$39)</f>
        <v>0</v>
      </c>
      <c r="K15" s="13" t="n">
        <f aca="false">IF($A15-(Premissas!$B$54+Premissas!$B$57)&gt;=1,INDEX($G$5:$G$94,$A15-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6.336039143</v>
      </c>
      <c r="L15" s="13" t="n">
        <f aca="false">IF($A15-(Premissas!$B$54+Premissas!$B$55)&gt;=1,INDEX($G$5:$G$94,$A15-(Premissas!$B$54+Premissas!$B$55)),0)*Unitário!$B$21*(Premissas!$B$51-(1-Premissas!$B$61)*Unitário!$B$24-(1-Premissas!$B$63)*Unitário!$B$25-(1-Premissas!$B$59)*Unitário!$B$22)</f>
        <v>0</v>
      </c>
      <c r="M15" s="13" t="n">
        <f aca="false">IF($A15-(Premissas!$B$56)&gt;=1,INDEX($H$5:$H$94,$A15-(Premissas!$B$56)),0)*(Premissas!$B$52-Unitário!$B$27)</f>
        <v>112.9202365</v>
      </c>
      <c r="N15" s="13" t="n">
        <f aca="false">-IF($A15-(Premissas!$B$60)&gt;=1,INDEX($H$5:$H$94,$A15-(Premissas!$B$60)),0)*(Premissas!$B$59*Unitário!$B$22+Premissas!$B$31)</f>
        <v>-35</v>
      </c>
      <c r="O15" s="13" t="n">
        <f aca="false">IF($A15-(Premissas!$B$54+Premissas!$B$57)&gt;=1,INDEX($H$5:$H$94,$A15-(Premissas!$B$54+Premissas!$B$57)),0)*Premissas!$B$27*(-Premissas!$B$52-Premissas!$B$41+Unitário!$B$27+(1-Premissas!$B$62)*Premissas!$B$31+Premissas!$B$59*Unitário!$B$22)</f>
        <v>-12.79202365</v>
      </c>
      <c r="P15" s="13" t="n">
        <f aca="false">-Premissas!$B$42*(IF($A15-(Premissas!$B$54+Premissas!$B$55)&gt;=1,INDEX($G$5:$G$94,$A15-(Premissas!$B$54+Premissas!$B$55)),0)*Unitário!$B$21*Premissas!$B$51+IF($A15-(Premissas!$B$56)&gt;=1,INDEX($H$5:$H$94,$A15-(Premissas!$B$56)),0)*(1-Premissas!$B$27)*Premissas!$B$52)</f>
        <v>-0</v>
      </c>
      <c r="Q15" s="13" t="n">
        <f aca="false">-IF(AND(DAY(B15+Premissas!$B$15)=Premissas!$B$16,B15+Premissas!$B$15&gt;=DATE(YEAR(Premissas!$B$11),MONTH(Premissas!$B$11)+1,Premissas!$B$16)),Premissas!$B$43,0)-IF(OR(E15&lt;0,F15&lt;0,IF(AND(DAY(B15+Premissas!$B$15)=Premissas!$B$16,B15+Premissas!$B$15&gt;=DATE(YEAR(Premissas!$B$11),MONTH(Premissas!$B$11)+1,Premissas!$B$16)),Premissas!$B$43,0)&gt;0),Premissas!$B$67*Premissas!$B$68,0)</f>
        <v>-0</v>
      </c>
      <c r="R15" s="13" t="n">
        <f aca="false">E15+F15+SUM(I15:Q15)</f>
        <v>-74.873569007</v>
      </c>
      <c r="S15" s="13" t="n">
        <f aca="false">S14+R15</f>
        <v>-300.929301524</v>
      </c>
      <c r="T15" s="16" t="n">
        <f aca="false">IF(AND($A15&gt;$B$100,S15&gt;=0),1,0)</f>
        <v>0</v>
      </c>
      <c r="U15" s="13" t="n">
        <f aca="false">S15-SUM($E$5:E15)-(1+Premissas!$B$17)*SUM($C$5:C15)</f>
        <v>-813.164301524</v>
      </c>
      <c r="V15" s="13" t="n">
        <f aca="false">(G15+H15)*Premissas!$B$21</f>
        <v>0.133333333333333</v>
      </c>
      <c r="W15" s="16" t="n">
        <f aca="false">IF(V15&gt;0,DATE(YEAR(B15),MONTH(B15)+1,Premissas!$B$16)-Premissas!$B$11+1-Premissas!$B$15,0)</f>
        <v>66</v>
      </c>
      <c r="X15" s="13" t="n">
        <f aca="false">X14-Y14+C15*(1+Premissas!$B$17)</f>
        <v>113.83</v>
      </c>
      <c r="Y15" s="13" t="n">
        <f aca="false">IF(OR(X15&gt;=Premissas!$B$13,B15=DATE(YEAR(B15),MONTH(B15)+1,0)),X15,0)</f>
        <v>113.83</v>
      </c>
      <c r="Z15" s="13" t="n">
        <f aca="false">Z14-AA14+C15/Premissas!$B$18*Premissas!$B$20</f>
        <v>18</v>
      </c>
      <c r="AA15" s="13" t="n">
        <f aca="false">IF(OR(Z15&gt;=Premissas!$B$14,B15=DATE(YEAR(B15),MONTH(B15)+1,0)),Z15,0)</f>
        <v>0</v>
      </c>
      <c r="AB15" s="16" t="n">
        <f aca="false">IF(AA15&gt;0,IF(DAY(B15)&lt;=Premissas!$B$12,DATE(YEAR(B15),MONTH(B15),Premissas!$B$16),DATE(YEAR(B15),MONTH(B15)+1,Premissas!$B$16))-Premissas!$B$11+1-Premissas!$B$15,0)</f>
        <v>0</v>
      </c>
    </row>
    <row r="16" customFormat="false" ht="15" hidden="false" customHeight="true" outlineLevel="0" collapsed="false">
      <c r="A16" s="16" t="n">
        <v>12</v>
      </c>
      <c r="B16" s="31" t="n">
        <f aca="false">Premissas!$B$11+A16-1</f>
        <v>46329</v>
      </c>
      <c r="C16" s="13" t="n">
        <f aca="false">IF(A16&lt;=Premissas!$B$7,Premissas!$B$6/Premissas!$B$7,IF(A16&lt;=Premissas!$B$7+Premissas!$B$8,0,IF(A16&lt;=Premissas!$B$7+Premissas!$B$8+Premissas!$B$10,Premissas!$B$9/Premissas!$B$10,0)))</f>
        <v>50</v>
      </c>
      <c r="D16" s="16" t="n">
        <f aca="false">IF(Y16&gt;0,IF(DAY(B16)&lt;=Premissas!$B$12,DATE(YEAR(B16),MONTH(B16),Premissas!$B$16),DATE(YEAR(B16),MONTH(B16)+1,Premissas!$B$16))-Premissas!$B$11+1-Premissas!$B$15,0)</f>
        <v>0</v>
      </c>
      <c r="E16" s="13" t="n">
        <f aca="false">-SUMIF($D$5:$D$94,A16,$Y$5:$Y$94)</f>
        <v>-0</v>
      </c>
      <c r="F16" s="13" t="n">
        <f aca="false">-SUMIF($W$5:$W$94,A16,$V$5:$V$94)-SUMIF($AB$5:$AB$94,A16,$AA$5:$AA$94)</f>
        <v>-0</v>
      </c>
      <c r="G16" s="30" t="n">
        <f aca="false">C16/Premissas!$B$18*Premissas!$B$19*Premissas!$B$23</f>
        <v>2.33333333333333</v>
      </c>
      <c r="H16" s="30" t="n">
        <f aca="false">C16/Premissas!$B$18*Premissas!$B$19*Premissas!$B$24</f>
        <v>1</v>
      </c>
      <c r="I16" s="13" t="n">
        <f aca="false">-IF($A16-(Premissas!$B$60)&gt;=1,INDEX($G$5:$G$94,$A16-(Premissas!$B$60)),0)*(Premissas!$B$59*Unitário!$B$22+(Premissas!$B$61*Unitário!$B$24+Premissas!$B$63*Unitário!$B$25))</f>
        <v>-146.337821</v>
      </c>
      <c r="J16" s="13" t="n">
        <f aca="false">IF($A16-(Premissas!$B$54)&gt;=1,INDEX($G$5:$G$94,$A16-(Premissas!$B$54)),0)*Premissas!$B$26*((Premissas!$B$59*Unitário!$B$22+(Premissas!$B$61*Unitário!$B$24+Premissas!$B$63*Unitário!$B$25))-Premissas!$B$39)</f>
        <v>20.91472957</v>
      </c>
      <c r="K16" s="13" t="n">
        <f aca="false">IF($A16-(Premissas!$B$54+Premissas!$B$57)&gt;=1,INDEX($G$5:$G$94,$A16-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6.336039143</v>
      </c>
      <c r="L16" s="13" t="n">
        <f aca="false">IF($A16-(Premissas!$B$54+Premissas!$B$55)&gt;=1,INDEX($G$5:$G$94,$A16-(Premissas!$B$54+Premissas!$B$55)),0)*Unitário!$B$21*(Premissas!$B$51-(1-Premissas!$B$61)*Unitário!$B$24-(1-Premissas!$B$63)*Unitário!$B$25-(1-Premissas!$B$59)*Unitário!$B$22)</f>
        <v>0</v>
      </c>
      <c r="M16" s="13" t="n">
        <f aca="false">IF($A16-(Premissas!$B$56)&gt;=1,INDEX($H$5:$H$94,$A16-(Premissas!$B$56)),0)*(Premissas!$B$52-Unitário!$B$27)</f>
        <v>112.9202365</v>
      </c>
      <c r="N16" s="13" t="n">
        <f aca="false">-IF($A16-(Premissas!$B$60)&gt;=1,INDEX($H$5:$H$94,$A16-(Premissas!$B$60)),0)*(Premissas!$B$59*Unitário!$B$22+Premissas!$B$31)</f>
        <v>-35</v>
      </c>
      <c r="O16" s="13" t="n">
        <f aca="false">IF($A16-(Premissas!$B$54+Premissas!$B$57)&gt;=1,INDEX($H$5:$H$94,$A16-(Premissas!$B$54+Premissas!$B$57)),0)*Premissas!$B$27*(-Premissas!$B$52-Premissas!$B$41+Unitário!$B$27+(1-Premissas!$B$62)*Premissas!$B$31+Premissas!$B$59*Unitário!$B$22)</f>
        <v>-12.79202365</v>
      </c>
      <c r="P16" s="13" t="n">
        <f aca="false">-Premissas!$B$42*(IF($A16-(Premissas!$B$54+Premissas!$B$55)&gt;=1,INDEX($G$5:$G$94,$A16-(Premissas!$B$54+Premissas!$B$55)),0)*Unitário!$B$21*Premissas!$B$51+IF($A16-(Premissas!$B$56)&gt;=1,INDEX($H$5:$H$94,$A16-(Premissas!$B$56)),0)*(1-Premissas!$B$27)*Premissas!$B$52)</f>
        <v>-0</v>
      </c>
      <c r="Q16" s="13" t="n">
        <f aca="false">-IF(AND(DAY(B16+Premissas!$B$15)=Premissas!$B$16,B16+Premissas!$B$15&gt;=DATE(YEAR(Premissas!$B$11),MONTH(Premissas!$B$11)+1,Premissas!$B$16)),Premissas!$B$43,0)-IF(OR(E16&lt;0,F16&lt;0,IF(AND(DAY(B16+Premissas!$B$15)=Premissas!$B$16,B16+Premissas!$B$15&gt;=DATE(YEAR(Premissas!$B$11),MONTH(Premissas!$B$11)+1,Premissas!$B$16)),Premissas!$B$43,0)&gt;0),Premissas!$B$67*Premissas!$B$68,0)</f>
        <v>-0</v>
      </c>
      <c r="R16" s="13" t="n">
        <f aca="false">E16+F16+SUM(I16:Q16)</f>
        <v>-53.958839437</v>
      </c>
      <c r="S16" s="13" t="n">
        <f aca="false">S15+R16</f>
        <v>-354.888140961</v>
      </c>
      <c r="T16" s="16" t="n">
        <f aca="false">IF(AND($A16&gt;$B$100,S16&gt;=0),1,0)</f>
        <v>0</v>
      </c>
      <c r="U16" s="13" t="n">
        <f aca="false">S16-SUM($E$5:E16)-(1+Premissas!$B$17)*SUM($C$5:C16)</f>
        <v>-924.038140961</v>
      </c>
      <c r="V16" s="13" t="n">
        <f aca="false">(G16+H16)*Premissas!$B$21</f>
        <v>0.133333333333333</v>
      </c>
      <c r="W16" s="16" t="n">
        <f aca="false">IF(V16&gt;0,DATE(YEAR(B16),MONTH(B16)+1,Premissas!$B$16)-Premissas!$B$11+1-Premissas!$B$15,0)</f>
        <v>66</v>
      </c>
      <c r="X16" s="13" t="n">
        <f aca="false">X15-Y15+C16*(1+Premissas!$B$17)</f>
        <v>56.915</v>
      </c>
      <c r="Y16" s="13" t="n">
        <f aca="false">IF(OR(X16&gt;=Premissas!$B$13,B16=DATE(YEAR(B16),MONTH(B16)+1,0)),X16,0)</f>
        <v>0</v>
      </c>
      <c r="Z16" s="13" t="n">
        <f aca="false">Z15-AA15+C16/Premissas!$B$18*Premissas!$B$20</f>
        <v>27</v>
      </c>
      <c r="AA16" s="13" t="n">
        <f aca="false">IF(OR(Z16&gt;=Premissas!$B$14,B16=DATE(YEAR(B16),MONTH(B16)+1,0)),Z16,0)</f>
        <v>27</v>
      </c>
      <c r="AB16" s="16" t="n">
        <f aca="false">IF(AA16&gt;0,IF(DAY(B16)&lt;=Premissas!$B$12,DATE(YEAR(B16),MONTH(B16),Premissas!$B$16),DATE(YEAR(B16),MONTH(B16)+1,Premissas!$B$16))-Premissas!$B$11+1-Premissas!$B$15,0)</f>
        <v>36</v>
      </c>
    </row>
    <row r="17" customFormat="false" ht="15" hidden="false" customHeight="true" outlineLevel="0" collapsed="false">
      <c r="A17" s="16" t="n">
        <v>13</v>
      </c>
      <c r="B17" s="31" t="n">
        <f aca="false">Premissas!$B$11+A17-1</f>
        <v>46330</v>
      </c>
      <c r="C17" s="13" t="n">
        <f aca="false">IF(A17&lt;=Premissas!$B$7,Premissas!$B$6/Premissas!$B$7,IF(A17&lt;=Premissas!$B$7+Premissas!$B$8,0,IF(A17&lt;=Premissas!$B$7+Premissas!$B$8+Premissas!$B$10,Premissas!$B$9/Premissas!$B$10,0)))</f>
        <v>50</v>
      </c>
      <c r="D17" s="16" t="n">
        <f aca="false">IF(Y17&gt;0,IF(DAY(B17)&lt;=Premissas!$B$12,DATE(YEAR(B17),MONTH(B17),Premissas!$B$16),DATE(YEAR(B17),MONTH(B17)+1,Premissas!$B$16))-Premissas!$B$11+1-Premissas!$B$15,0)</f>
        <v>36</v>
      </c>
      <c r="E17" s="13" t="n">
        <f aca="false">-SUMIF($D$5:$D$94,A17,$Y$5:$Y$94)</f>
        <v>-0</v>
      </c>
      <c r="F17" s="13" t="n">
        <f aca="false">-SUMIF($W$5:$W$94,A17,$V$5:$V$94)-SUMIF($AB$5:$AB$94,A17,$AA$5:$AA$94)</f>
        <v>-0</v>
      </c>
      <c r="G17" s="30" t="n">
        <f aca="false">C17/Premissas!$B$18*Premissas!$B$19*Premissas!$B$23</f>
        <v>2.33333333333333</v>
      </c>
      <c r="H17" s="30" t="n">
        <f aca="false">C17/Premissas!$B$18*Premissas!$B$19*Premissas!$B$24</f>
        <v>1</v>
      </c>
      <c r="I17" s="13" t="n">
        <f aca="false">-IF($A17-(Premissas!$B$60)&gt;=1,INDEX($G$5:$G$94,$A17-(Premissas!$B$60)),0)*(Premissas!$B$59*Unitário!$B$22+(Premissas!$B$61*Unitário!$B$24+Premissas!$B$63*Unitário!$B$25))</f>
        <v>-146.337821</v>
      </c>
      <c r="J17" s="13" t="n">
        <f aca="false">IF($A17-(Premissas!$B$54)&gt;=1,INDEX($G$5:$G$94,$A17-(Premissas!$B$54)),0)*Premissas!$B$26*((Premissas!$B$59*Unitário!$B$22+(Premissas!$B$61*Unitário!$B$24+Premissas!$B$63*Unitário!$B$25))-Premissas!$B$39)</f>
        <v>20.91472957</v>
      </c>
      <c r="K17" s="13" t="n">
        <f aca="false">IF($A17-(Premissas!$B$54+Premissas!$B$57)&gt;=1,INDEX($G$5:$G$94,$A17-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6.336039143</v>
      </c>
      <c r="L17" s="13" t="n">
        <f aca="false">IF($A17-(Premissas!$B$54+Premissas!$B$55)&gt;=1,INDEX($G$5:$G$94,$A17-(Premissas!$B$54+Premissas!$B$55)),0)*Unitário!$B$21*(Premissas!$B$51-(1-Premissas!$B$61)*Unitário!$B$24-(1-Premissas!$B$63)*Unitário!$B$25-(1-Premissas!$B$59)*Unitário!$B$22)</f>
        <v>0</v>
      </c>
      <c r="M17" s="13" t="n">
        <f aca="false">IF($A17-(Premissas!$B$56)&gt;=1,INDEX($H$5:$H$94,$A17-(Premissas!$B$56)),0)*(Premissas!$B$52-Unitário!$B$27)</f>
        <v>112.9202365</v>
      </c>
      <c r="N17" s="13" t="n">
        <f aca="false">-IF($A17-(Premissas!$B$60)&gt;=1,INDEX($H$5:$H$94,$A17-(Premissas!$B$60)),0)*(Premissas!$B$59*Unitário!$B$22+Premissas!$B$31)</f>
        <v>-35</v>
      </c>
      <c r="O17" s="13" t="n">
        <f aca="false">IF($A17-(Premissas!$B$54+Premissas!$B$57)&gt;=1,INDEX($H$5:$H$94,$A17-(Premissas!$B$54+Premissas!$B$57)),0)*Premissas!$B$27*(-Premissas!$B$52-Premissas!$B$41+Unitário!$B$27+(1-Premissas!$B$62)*Premissas!$B$31+Premissas!$B$59*Unitário!$B$22)</f>
        <v>-12.79202365</v>
      </c>
      <c r="P17" s="13" t="n">
        <f aca="false">-Premissas!$B$42*(IF($A17-(Premissas!$B$54+Premissas!$B$55)&gt;=1,INDEX($G$5:$G$94,$A17-(Premissas!$B$54+Premissas!$B$55)),0)*Unitário!$B$21*Premissas!$B$51+IF($A17-(Premissas!$B$56)&gt;=1,INDEX($H$5:$H$94,$A17-(Premissas!$B$56)),0)*(1-Premissas!$B$27)*Premissas!$B$52)</f>
        <v>-0</v>
      </c>
      <c r="Q17" s="13" t="n">
        <f aca="false">-IF(AND(DAY(B17+Premissas!$B$15)=Premissas!$B$16,B17+Premissas!$B$15&gt;=DATE(YEAR(Premissas!$B$11),MONTH(Premissas!$B$11)+1,Premissas!$B$16)),Premissas!$B$43,0)-IF(OR(E17&lt;0,F17&lt;0,IF(AND(DAY(B17+Premissas!$B$15)=Premissas!$B$16,B17+Premissas!$B$15&gt;=DATE(YEAR(Premissas!$B$11),MONTH(Premissas!$B$11)+1,Premissas!$B$16)),Premissas!$B$43,0)&gt;0),Premissas!$B$67*Premissas!$B$68,0)</f>
        <v>-0</v>
      </c>
      <c r="R17" s="13" t="n">
        <f aca="false">E17+F17+SUM(I17:Q17)</f>
        <v>-53.958839437</v>
      </c>
      <c r="S17" s="13" t="n">
        <f aca="false">S16+R17</f>
        <v>-408.846980398</v>
      </c>
      <c r="T17" s="16" t="n">
        <f aca="false">IF(AND($A17&gt;$B$100,S17&gt;=0),1,0)</f>
        <v>0</v>
      </c>
      <c r="U17" s="13" t="n">
        <f aca="false">S17-SUM($E$5:E17)-(1+Premissas!$B$17)*SUM($C$5:C17)</f>
        <v>-1034.911980398</v>
      </c>
      <c r="V17" s="13" t="n">
        <f aca="false">(G17+H17)*Premissas!$B$21</f>
        <v>0.133333333333333</v>
      </c>
      <c r="W17" s="16" t="n">
        <f aca="false">IF(V17&gt;0,DATE(YEAR(B17),MONTH(B17)+1,Premissas!$B$16)-Premissas!$B$11+1-Premissas!$B$15,0)</f>
        <v>66</v>
      </c>
      <c r="X17" s="13" t="n">
        <f aca="false">X16-Y16+C17*(1+Premissas!$B$17)</f>
        <v>113.83</v>
      </c>
      <c r="Y17" s="13" t="n">
        <f aca="false">IF(OR(X17&gt;=Premissas!$B$13,B17=DATE(YEAR(B17),MONTH(B17)+1,0)),X17,0)</f>
        <v>113.83</v>
      </c>
      <c r="Z17" s="13" t="n">
        <f aca="false">Z16-AA16+C17/Premissas!$B$18*Premissas!$B$20</f>
        <v>9</v>
      </c>
      <c r="AA17" s="13" t="n">
        <f aca="false">IF(OR(Z17&gt;=Premissas!$B$14,B17=DATE(YEAR(B17),MONTH(B17)+1,0)),Z17,0)</f>
        <v>0</v>
      </c>
      <c r="AB17" s="16" t="n">
        <f aca="false">IF(AA17&gt;0,IF(DAY(B17)&lt;=Premissas!$B$12,DATE(YEAR(B17),MONTH(B17),Premissas!$B$16),DATE(YEAR(B17),MONTH(B17)+1,Premissas!$B$16))-Premissas!$B$11+1-Premissas!$B$15,0)</f>
        <v>0</v>
      </c>
    </row>
    <row r="18" customFormat="false" ht="15" hidden="false" customHeight="true" outlineLevel="0" collapsed="false">
      <c r="A18" s="16" t="n">
        <v>14</v>
      </c>
      <c r="B18" s="31" t="n">
        <f aca="false">Premissas!$B$11+A18-1</f>
        <v>46331</v>
      </c>
      <c r="C18" s="13" t="n">
        <f aca="false">IF(A18&lt;=Premissas!$B$7,Premissas!$B$6/Premissas!$B$7,IF(A18&lt;=Premissas!$B$7+Premissas!$B$8,0,IF(A18&lt;=Premissas!$B$7+Premissas!$B$8+Premissas!$B$10,Premissas!$B$9/Premissas!$B$10,0)))</f>
        <v>50</v>
      </c>
      <c r="D18" s="16" t="n">
        <f aca="false">IF(Y18&gt;0,IF(DAY(B18)&lt;=Premissas!$B$12,DATE(YEAR(B18),MONTH(B18),Premissas!$B$16),DATE(YEAR(B18),MONTH(B18)+1,Premissas!$B$16))-Premissas!$B$11+1-Premissas!$B$15,0)</f>
        <v>0</v>
      </c>
      <c r="E18" s="13" t="n">
        <f aca="false">-SUMIF($D$5:$D$94,A18,$Y$5:$Y$94)</f>
        <v>-0</v>
      </c>
      <c r="F18" s="13" t="n">
        <f aca="false">-SUMIF($W$5:$W$94,A18,$V$5:$V$94)-SUMIF($AB$5:$AB$94,A18,$AA$5:$AA$94)</f>
        <v>-0</v>
      </c>
      <c r="G18" s="30" t="n">
        <f aca="false">C18/Premissas!$B$18*Premissas!$B$19*Premissas!$B$23</f>
        <v>2.33333333333333</v>
      </c>
      <c r="H18" s="30" t="n">
        <f aca="false">C18/Premissas!$B$18*Premissas!$B$19*Premissas!$B$24</f>
        <v>1</v>
      </c>
      <c r="I18" s="13" t="n">
        <f aca="false">-IF($A18-(Premissas!$B$60)&gt;=1,INDEX($G$5:$G$94,$A18-(Premissas!$B$60)),0)*(Premissas!$B$59*Unitário!$B$22+(Premissas!$B$61*Unitário!$B$24+Premissas!$B$63*Unitário!$B$25))</f>
        <v>-146.337821</v>
      </c>
      <c r="J18" s="13" t="n">
        <f aca="false">IF($A18-(Premissas!$B$54)&gt;=1,INDEX($G$5:$G$94,$A18-(Premissas!$B$54)),0)*Premissas!$B$26*((Premissas!$B$59*Unitário!$B$22+(Premissas!$B$61*Unitário!$B$24+Premissas!$B$63*Unitário!$B$25))-Premissas!$B$39)</f>
        <v>20.91472957</v>
      </c>
      <c r="K18" s="13" t="n">
        <f aca="false">IF($A18-(Premissas!$B$54+Premissas!$B$57)&gt;=1,INDEX($G$5:$G$94,$A18-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6.336039143</v>
      </c>
      <c r="L18" s="13" t="n">
        <f aca="false">IF($A18-(Premissas!$B$54+Premissas!$B$55)&gt;=1,INDEX($G$5:$G$94,$A18-(Premissas!$B$54+Premissas!$B$55)),0)*Unitário!$B$21*(Premissas!$B$51-(1-Premissas!$B$61)*Unitário!$B$24-(1-Premissas!$B$63)*Unitário!$B$25-(1-Premissas!$B$59)*Unitário!$B$22)</f>
        <v>0</v>
      </c>
      <c r="M18" s="13" t="n">
        <f aca="false">IF($A18-(Premissas!$B$56)&gt;=1,INDEX($H$5:$H$94,$A18-(Premissas!$B$56)),0)*(Premissas!$B$52-Unitário!$B$27)</f>
        <v>112.9202365</v>
      </c>
      <c r="N18" s="13" t="n">
        <f aca="false">-IF($A18-(Premissas!$B$60)&gt;=1,INDEX($H$5:$H$94,$A18-(Premissas!$B$60)),0)*(Premissas!$B$59*Unitário!$B$22+Premissas!$B$31)</f>
        <v>-35</v>
      </c>
      <c r="O18" s="13" t="n">
        <f aca="false">IF($A18-(Premissas!$B$54+Premissas!$B$57)&gt;=1,INDEX($H$5:$H$94,$A18-(Premissas!$B$54+Premissas!$B$57)),0)*Premissas!$B$27*(-Premissas!$B$52-Premissas!$B$41+Unitário!$B$27+(1-Premissas!$B$62)*Premissas!$B$31+Premissas!$B$59*Unitário!$B$22)</f>
        <v>-12.79202365</v>
      </c>
      <c r="P18" s="13" t="n">
        <f aca="false">-Premissas!$B$42*(IF($A18-(Premissas!$B$54+Premissas!$B$55)&gt;=1,INDEX($G$5:$G$94,$A18-(Premissas!$B$54+Premissas!$B$55)),0)*Unitário!$B$21*Premissas!$B$51+IF($A18-(Premissas!$B$56)&gt;=1,INDEX($H$5:$H$94,$A18-(Premissas!$B$56)),0)*(1-Premissas!$B$27)*Premissas!$B$52)</f>
        <v>-0</v>
      </c>
      <c r="Q18" s="13" t="n">
        <f aca="false">-IF(AND(DAY(B18+Premissas!$B$15)=Premissas!$B$16,B18+Premissas!$B$15&gt;=DATE(YEAR(Premissas!$B$11),MONTH(Premissas!$B$11)+1,Premissas!$B$16)),Premissas!$B$43,0)-IF(OR(E18&lt;0,F18&lt;0,IF(AND(DAY(B18+Premissas!$B$15)=Premissas!$B$16,B18+Premissas!$B$15&gt;=DATE(YEAR(Premissas!$B$11),MONTH(Premissas!$B$11)+1,Premissas!$B$16)),Premissas!$B$43,0)&gt;0),Premissas!$B$67*Premissas!$B$68,0)</f>
        <v>-0</v>
      </c>
      <c r="R18" s="13" t="n">
        <f aca="false">E18+F18+SUM(I18:Q18)</f>
        <v>-53.958839437</v>
      </c>
      <c r="S18" s="13" t="n">
        <f aca="false">S17+R18</f>
        <v>-462.805819835</v>
      </c>
      <c r="T18" s="16" t="n">
        <f aca="false">IF(AND($A18&gt;$B$100,S18&gt;=0),1,0)</f>
        <v>0</v>
      </c>
      <c r="U18" s="13" t="n">
        <f aca="false">S18-SUM($E$5:E18)-(1+Premissas!$B$17)*SUM($C$5:C18)</f>
        <v>-1145.785819835</v>
      </c>
      <c r="V18" s="13" t="n">
        <f aca="false">(G18+H18)*Premissas!$B$21</f>
        <v>0.133333333333333</v>
      </c>
      <c r="W18" s="16" t="n">
        <f aca="false">IF(V18&gt;0,DATE(YEAR(B18),MONTH(B18)+1,Premissas!$B$16)-Premissas!$B$11+1-Premissas!$B$15,0)</f>
        <v>66</v>
      </c>
      <c r="X18" s="13" t="n">
        <f aca="false">X17-Y17+C18*(1+Premissas!$B$17)</f>
        <v>56.915</v>
      </c>
      <c r="Y18" s="13" t="n">
        <f aca="false">IF(OR(X18&gt;=Premissas!$B$13,B18=DATE(YEAR(B18),MONTH(B18)+1,0)),X18,0)</f>
        <v>0</v>
      </c>
      <c r="Z18" s="13" t="n">
        <f aca="false">Z17-AA17+C18/Premissas!$B$18*Premissas!$B$20</f>
        <v>18</v>
      </c>
      <c r="AA18" s="13" t="n">
        <f aca="false">IF(OR(Z18&gt;=Premissas!$B$14,B18=DATE(YEAR(B18),MONTH(B18)+1,0)),Z18,0)</f>
        <v>0</v>
      </c>
      <c r="AB18" s="16" t="n">
        <f aca="false">IF(AA18&gt;0,IF(DAY(B18)&lt;=Premissas!$B$12,DATE(YEAR(B18),MONTH(B18),Premissas!$B$16),DATE(YEAR(B18),MONTH(B18)+1,Premissas!$B$16))-Premissas!$B$11+1-Premissas!$B$15,0)</f>
        <v>0</v>
      </c>
    </row>
    <row r="19" customFormat="false" ht="15" hidden="false" customHeight="true" outlineLevel="0" collapsed="false">
      <c r="A19" s="16" t="n">
        <v>15</v>
      </c>
      <c r="B19" s="31" t="n">
        <f aca="false">Premissas!$B$11+A19-1</f>
        <v>46332</v>
      </c>
      <c r="C19" s="13" t="n">
        <f aca="false">IF(A19&lt;=Premissas!$B$7,Premissas!$B$6/Premissas!$B$7,IF(A19&lt;=Premissas!$B$7+Premissas!$B$8,0,IF(A19&lt;=Premissas!$B$7+Premissas!$B$8+Premissas!$B$10,Premissas!$B$9/Premissas!$B$10,0)))</f>
        <v>50</v>
      </c>
      <c r="D19" s="16" t="n">
        <f aca="false">IF(Y19&gt;0,IF(DAY(B19)&lt;=Premissas!$B$12,DATE(YEAR(B19),MONTH(B19),Premissas!$B$16),DATE(YEAR(B19),MONTH(B19)+1,Premissas!$B$16))-Premissas!$B$11+1-Premissas!$B$15,0)</f>
        <v>36</v>
      </c>
      <c r="E19" s="13" t="n">
        <f aca="false">-SUMIF($D$5:$D$94,A19,$Y$5:$Y$94)</f>
        <v>-0</v>
      </c>
      <c r="F19" s="13" t="n">
        <f aca="false">-SUMIF($W$5:$W$94,A19,$V$5:$V$94)-SUMIF($AB$5:$AB$94,A19,$AA$5:$AA$94)</f>
        <v>-0</v>
      </c>
      <c r="G19" s="30" t="n">
        <f aca="false">C19/Premissas!$B$18*Premissas!$B$19*Premissas!$B$23</f>
        <v>2.33333333333333</v>
      </c>
      <c r="H19" s="30" t="n">
        <f aca="false">C19/Premissas!$B$18*Premissas!$B$19*Premissas!$B$24</f>
        <v>1</v>
      </c>
      <c r="I19" s="13" t="n">
        <f aca="false">-IF($A19-(Premissas!$B$60)&gt;=1,INDEX($G$5:$G$94,$A19-(Premissas!$B$60)),0)*(Premissas!$B$59*Unitário!$B$22+(Premissas!$B$61*Unitário!$B$24+Premissas!$B$63*Unitário!$B$25))</f>
        <v>-146.337821</v>
      </c>
      <c r="J19" s="13" t="n">
        <f aca="false">IF($A19-(Premissas!$B$54)&gt;=1,INDEX($G$5:$G$94,$A19-(Premissas!$B$54)),0)*Premissas!$B$26*((Premissas!$B$59*Unitário!$B$22+(Premissas!$B$61*Unitário!$B$24+Premissas!$B$63*Unitário!$B$25))-Premissas!$B$39)</f>
        <v>20.91472957</v>
      </c>
      <c r="K19" s="13" t="n">
        <f aca="false">IF($A19-(Premissas!$B$54+Premissas!$B$57)&gt;=1,INDEX($G$5:$G$94,$A19-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6.336039143</v>
      </c>
      <c r="L19" s="13" t="n">
        <f aca="false">IF($A19-(Premissas!$B$54+Premissas!$B$55)&gt;=1,INDEX($G$5:$G$94,$A19-(Premissas!$B$54+Premissas!$B$55)),0)*Unitário!$B$21*(Premissas!$B$51-(1-Premissas!$B$61)*Unitário!$B$24-(1-Premissas!$B$63)*Unitário!$B$25-(1-Premissas!$B$59)*Unitário!$B$22)</f>
        <v>0</v>
      </c>
      <c r="M19" s="13" t="n">
        <f aca="false">IF($A19-(Premissas!$B$56)&gt;=1,INDEX($H$5:$H$94,$A19-(Premissas!$B$56)),0)*(Premissas!$B$52-Unitário!$B$27)</f>
        <v>112.9202365</v>
      </c>
      <c r="N19" s="13" t="n">
        <f aca="false">-IF($A19-(Premissas!$B$60)&gt;=1,INDEX($H$5:$H$94,$A19-(Premissas!$B$60)),0)*(Premissas!$B$59*Unitário!$B$22+Premissas!$B$31)</f>
        <v>-35</v>
      </c>
      <c r="O19" s="13" t="n">
        <f aca="false">IF($A19-(Premissas!$B$54+Premissas!$B$57)&gt;=1,INDEX($H$5:$H$94,$A19-(Premissas!$B$54+Premissas!$B$57)),0)*Premissas!$B$27*(-Premissas!$B$52-Premissas!$B$41+Unitário!$B$27+(1-Premissas!$B$62)*Premissas!$B$31+Premissas!$B$59*Unitário!$B$22)</f>
        <v>-12.79202365</v>
      </c>
      <c r="P19" s="13" t="n">
        <f aca="false">-Premissas!$B$42*(IF($A19-(Premissas!$B$54+Premissas!$B$55)&gt;=1,INDEX($G$5:$G$94,$A19-(Premissas!$B$54+Premissas!$B$55)),0)*Unitário!$B$21*Premissas!$B$51+IF($A19-(Premissas!$B$56)&gt;=1,INDEX($H$5:$H$94,$A19-(Premissas!$B$56)),0)*(1-Premissas!$B$27)*Premissas!$B$52)</f>
        <v>-0</v>
      </c>
      <c r="Q19" s="13" t="n">
        <f aca="false">-IF(AND(DAY(B19+Premissas!$B$15)=Premissas!$B$16,B19+Premissas!$B$15&gt;=DATE(YEAR(Premissas!$B$11),MONTH(Premissas!$B$11)+1,Premissas!$B$16)),Premissas!$B$43,0)-IF(OR(E19&lt;0,F19&lt;0,IF(AND(DAY(B19+Premissas!$B$15)=Premissas!$B$16,B19+Premissas!$B$15&gt;=DATE(YEAR(Premissas!$B$11),MONTH(Premissas!$B$11)+1,Premissas!$B$16)),Premissas!$B$43,0)&gt;0),Premissas!$B$67*Premissas!$B$68,0)</f>
        <v>-0</v>
      </c>
      <c r="R19" s="13" t="n">
        <f aca="false">E19+F19+SUM(I19:Q19)</f>
        <v>-53.958839437</v>
      </c>
      <c r="S19" s="13" t="n">
        <f aca="false">S18+R19</f>
        <v>-516.764659272</v>
      </c>
      <c r="T19" s="16" t="n">
        <f aca="false">IF(AND($A19&gt;$B$100,S19&gt;=0),1,0)</f>
        <v>0</v>
      </c>
      <c r="U19" s="13" t="n">
        <f aca="false">S19-SUM($E$5:E19)-(1+Premissas!$B$17)*SUM($C$5:C19)</f>
        <v>-1256.659659272</v>
      </c>
      <c r="V19" s="13" t="n">
        <f aca="false">(G19+H19)*Premissas!$B$21</f>
        <v>0.133333333333333</v>
      </c>
      <c r="W19" s="16" t="n">
        <f aca="false">IF(V19&gt;0,DATE(YEAR(B19),MONTH(B19)+1,Premissas!$B$16)-Premissas!$B$11+1-Premissas!$B$15,0)</f>
        <v>66</v>
      </c>
      <c r="X19" s="13" t="n">
        <f aca="false">X18-Y18+C19*(1+Premissas!$B$17)</f>
        <v>113.83</v>
      </c>
      <c r="Y19" s="13" t="n">
        <f aca="false">IF(OR(X19&gt;=Premissas!$B$13,B19=DATE(YEAR(B19),MONTH(B19)+1,0)),X19,0)</f>
        <v>113.83</v>
      </c>
      <c r="Z19" s="13" t="n">
        <f aca="false">Z18-AA18+C19/Premissas!$B$18*Premissas!$B$20</f>
        <v>27</v>
      </c>
      <c r="AA19" s="13" t="n">
        <f aca="false">IF(OR(Z19&gt;=Premissas!$B$14,B19=DATE(YEAR(B19),MONTH(B19)+1,0)),Z19,0)</f>
        <v>27</v>
      </c>
      <c r="AB19" s="16" t="n">
        <f aca="false">IF(AA19&gt;0,IF(DAY(B19)&lt;=Premissas!$B$12,DATE(YEAR(B19),MONTH(B19),Premissas!$B$16),DATE(YEAR(B19),MONTH(B19)+1,Premissas!$B$16))-Premissas!$B$11+1-Premissas!$B$15,0)</f>
        <v>36</v>
      </c>
    </row>
    <row r="20" customFormat="false" ht="15" hidden="false" customHeight="true" outlineLevel="0" collapsed="false">
      <c r="A20" s="16" t="n">
        <v>16</v>
      </c>
      <c r="B20" s="31" t="n">
        <f aca="false">Premissas!$B$11+A20-1</f>
        <v>46333</v>
      </c>
      <c r="C20" s="13" t="n">
        <f aca="false">IF(A20&lt;=Premissas!$B$7,Premissas!$B$6/Premissas!$B$7,IF(A20&lt;=Premissas!$B$7+Premissas!$B$8,0,IF(A20&lt;=Premissas!$B$7+Premissas!$B$8+Premissas!$B$10,Premissas!$B$9/Premissas!$B$10,0)))</f>
        <v>50</v>
      </c>
      <c r="D20" s="16" t="n">
        <f aca="false">IF(Y20&gt;0,IF(DAY(B20)&lt;=Premissas!$B$12,DATE(YEAR(B20),MONTH(B20),Premissas!$B$16),DATE(YEAR(B20),MONTH(B20)+1,Premissas!$B$16))-Premissas!$B$11+1-Premissas!$B$15,0)</f>
        <v>0</v>
      </c>
      <c r="E20" s="13" t="n">
        <f aca="false">-SUMIF($D$5:$D$94,A20,$Y$5:$Y$94)</f>
        <v>-0</v>
      </c>
      <c r="F20" s="13" t="n">
        <f aca="false">-SUMIF($W$5:$W$94,A20,$V$5:$V$94)-SUMIF($AB$5:$AB$94,A20,$AA$5:$AA$94)</f>
        <v>-0</v>
      </c>
      <c r="G20" s="30" t="n">
        <f aca="false">C20/Premissas!$B$18*Premissas!$B$19*Premissas!$B$23</f>
        <v>2.33333333333333</v>
      </c>
      <c r="H20" s="30" t="n">
        <f aca="false">C20/Premissas!$B$18*Premissas!$B$19*Premissas!$B$24</f>
        <v>1</v>
      </c>
      <c r="I20" s="13" t="n">
        <f aca="false">-IF($A20-(Premissas!$B$60)&gt;=1,INDEX($G$5:$G$94,$A20-(Premissas!$B$60)),0)*(Premissas!$B$59*Unitário!$B$22+(Premissas!$B$61*Unitário!$B$24+Premissas!$B$63*Unitário!$B$25))</f>
        <v>-146.337821</v>
      </c>
      <c r="J20" s="13" t="n">
        <f aca="false">IF($A20-(Premissas!$B$54)&gt;=1,INDEX($G$5:$G$94,$A20-(Premissas!$B$54)),0)*Premissas!$B$26*((Premissas!$B$59*Unitário!$B$22+(Premissas!$B$61*Unitário!$B$24+Premissas!$B$63*Unitário!$B$25))-Premissas!$B$39)</f>
        <v>20.91472957</v>
      </c>
      <c r="K20" s="13" t="n">
        <f aca="false">IF($A20-(Premissas!$B$54+Premissas!$B$57)&gt;=1,INDEX($G$5:$G$94,$A20-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6.336039143</v>
      </c>
      <c r="L20" s="13" t="n">
        <f aca="false">IF($A20-(Premissas!$B$54+Premissas!$B$55)&gt;=1,INDEX($G$5:$G$94,$A20-(Premissas!$B$54+Premissas!$B$55)),0)*Unitário!$B$21*(Premissas!$B$51-(1-Premissas!$B$61)*Unitário!$B$24-(1-Premissas!$B$63)*Unitário!$B$25-(1-Premissas!$B$59)*Unitário!$B$22)</f>
        <v>0</v>
      </c>
      <c r="M20" s="13" t="n">
        <f aca="false">IF($A20-(Premissas!$B$56)&gt;=1,INDEX($H$5:$H$94,$A20-(Premissas!$B$56)),0)*(Premissas!$B$52-Unitário!$B$27)</f>
        <v>112.9202365</v>
      </c>
      <c r="N20" s="13" t="n">
        <f aca="false">-IF($A20-(Premissas!$B$60)&gt;=1,INDEX($H$5:$H$94,$A20-(Premissas!$B$60)),0)*(Premissas!$B$59*Unitário!$B$22+Premissas!$B$31)</f>
        <v>-35</v>
      </c>
      <c r="O20" s="13" t="n">
        <f aca="false">IF($A20-(Premissas!$B$54+Premissas!$B$57)&gt;=1,INDEX($H$5:$H$94,$A20-(Premissas!$B$54+Premissas!$B$57)),0)*Premissas!$B$27*(-Premissas!$B$52-Premissas!$B$41+Unitário!$B$27+(1-Premissas!$B$62)*Premissas!$B$31+Premissas!$B$59*Unitário!$B$22)</f>
        <v>-12.79202365</v>
      </c>
      <c r="P20" s="13" t="n">
        <f aca="false">-Premissas!$B$42*(IF($A20-(Premissas!$B$54+Premissas!$B$55)&gt;=1,INDEX($G$5:$G$94,$A20-(Premissas!$B$54+Premissas!$B$55)),0)*Unitário!$B$21*Premissas!$B$51+IF($A20-(Premissas!$B$56)&gt;=1,INDEX($H$5:$H$94,$A20-(Premissas!$B$56)),0)*(1-Premissas!$B$27)*Premissas!$B$52)</f>
        <v>-0</v>
      </c>
      <c r="Q20" s="13" t="n">
        <f aca="false">-IF(AND(DAY(B20+Premissas!$B$15)=Premissas!$B$16,B20+Premissas!$B$15&gt;=DATE(YEAR(Premissas!$B$11),MONTH(Premissas!$B$11)+1,Premissas!$B$16)),Premissas!$B$43,0)-IF(OR(E20&lt;0,F20&lt;0,IF(AND(DAY(B20+Premissas!$B$15)=Premissas!$B$16,B20+Premissas!$B$15&gt;=DATE(YEAR(Premissas!$B$11),MONTH(Premissas!$B$11)+1,Premissas!$B$16)),Premissas!$B$43,0)&gt;0),Premissas!$B$67*Premissas!$B$68,0)</f>
        <v>-0</v>
      </c>
      <c r="R20" s="13" t="n">
        <f aca="false">E20+F20+SUM(I20:Q20)</f>
        <v>-53.958839437</v>
      </c>
      <c r="S20" s="13" t="n">
        <f aca="false">S19+R20</f>
        <v>-570.723498709</v>
      </c>
      <c r="T20" s="16" t="n">
        <f aca="false">IF(AND($A20&gt;$B$100,S20&gt;=0),1,0)</f>
        <v>0</v>
      </c>
      <c r="U20" s="13" t="n">
        <f aca="false">S20-SUM($E$5:E20)-(1+Premissas!$B$17)*SUM($C$5:C20)</f>
        <v>-1367.533498709</v>
      </c>
      <c r="V20" s="13" t="n">
        <f aca="false">(G20+H20)*Premissas!$B$21</f>
        <v>0.133333333333333</v>
      </c>
      <c r="W20" s="16" t="n">
        <f aca="false">IF(V20&gt;0,DATE(YEAR(B20),MONTH(B20)+1,Premissas!$B$16)-Premissas!$B$11+1-Premissas!$B$15,0)</f>
        <v>66</v>
      </c>
      <c r="X20" s="13" t="n">
        <f aca="false">X19-Y19+C20*(1+Premissas!$B$17)</f>
        <v>56.915</v>
      </c>
      <c r="Y20" s="13" t="n">
        <f aca="false">IF(OR(X20&gt;=Premissas!$B$13,B20=DATE(YEAR(B20),MONTH(B20)+1,0)),X20,0)</f>
        <v>0</v>
      </c>
      <c r="Z20" s="13" t="n">
        <f aca="false">Z19-AA19+C20/Premissas!$B$18*Premissas!$B$20</f>
        <v>9</v>
      </c>
      <c r="AA20" s="13" t="n">
        <f aca="false">IF(OR(Z20&gt;=Premissas!$B$14,B20=DATE(YEAR(B20),MONTH(B20)+1,0)),Z20,0)</f>
        <v>0</v>
      </c>
      <c r="AB20" s="16" t="n">
        <f aca="false">IF(AA20&gt;0,IF(DAY(B20)&lt;=Premissas!$B$12,DATE(YEAR(B20),MONTH(B20),Premissas!$B$16),DATE(YEAR(B20),MONTH(B20)+1,Premissas!$B$16))-Premissas!$B$11+1-Premissas!$B$15,0)</f>
        <v>0</v>
      </c>
    </row>
    <row r="21" customFormat="false" ht="15" hidden="false" customHeight="true" outlineLevel="0" collapsed="false">
      <c r="A21" s="16" t="n">
        <v>17</v>
      </c>
      <c r="B21" s="31" t="n">
        <f aca="false">Premissas!$B$11+A21-1</f>
        <v>46334</v>
      </c>
      <c r="C21" s="13" t="n">
        <f aca="false">IF(A21&lt;=Premissas!$B$7,Premissas!$B$6/Premissas!$B$7,IF(A21&lt;=Premissas!$B$7+Premissas!$B$8,0,IF(A21&lt;=Premissas!$B$7+Premissas!$B$8+Premissas!$B$10,Premissas!$B$9/Premissas!$B$10,0)))</f>
        <v>0</v>
      </c>
      <c r="D21" s="16" t="n">
        <f aca="false">IF(Y21&gt;0,IF(DAY(B21)&lt;=Premissas!$B$12,DATE(YEAR(B21),MONTH(B21),Premissas!$B$16),DATE(YEAR(B21),MONTH(B21)+1,Premissas!$B$16))-Premissas!$B$11+1-Premissas!$B$15,0)</f>
        <v>0</v>
      </c>
      <c r="E21" s="13" t="n">
        <f aca="false">-SUMIF($D$5:$D$94,A21,$Y$5:$Y$94)</f>
        <v>-0</v>
      </c>
      <c r="F21" s="13" t="n">
        <f aca="false">-SUMIF($W$5:$W$94,A21,$V$5:$V$94)-SUMIF($AB$5:$AB$94,A21,$AA$5:$AA$94)</f>
        <v>-0</v>
      </c>
      <c r="G21" s="30" t="n">
        <f aca="false">C21/Premissas!$B$18*Premissas!$B$19*Premissas!$B$23</f>
        <v>0</v>
      </c>
      <c r="H21" s="30" t="n">
        <f aca="false">C21/Premissas!$B$18*Premissas!$B$19*Premissas!$B$24</f>
        <v>0</v>
      </c>
      <c r="I21" s="13" t="n">
        <f aca="false">-IF($A21-(Premissas!$B$60)&gt;=1,INDEX($G$5:$G$94,$A21-(Premissas!$B$60)),0)*(Premissas!$B$59*Unitário!$B$22+(Premissas!$B$61*Unitário!$B$24+Premissas!$B$63*Unitário!$B$25))</f>
        <v>-146.337821</v>
      </c>
      <c r="J21" s="13" t="n">
        <f aca="false">IF($A21-(Premissas!$B$54)&gt;=1,INDEX($G$5:$G$94,$A21-(Premissas!$B$54)),0)*Premissas!$B$26*((Premissas!$B$59*Unitário!$B$22+(Premissas!$B$61*Unitário!$B$24+Premissas!$B$63*Unitário!$B$25))-Premissas!$B$39)</f>
        <v>20.91472957</v>
      </c>
      <c r="K21" s="13" t="n">
        <f aca="false">IF($A21-(Premissas!$B$54+Premissas!$B$57)&gt;=1,INDEX($G$5:$G$94,$A21-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21" s="13" t="n">
        <f aca="false">IF($A21-(Premissas!$B$54+Premissas!$B$55)&gt;=1,INDEX($G$5:$G$94,$A21-(Premissas!$B$54+Premissas!$B$55)),0)*Unitário!$B$21*(Premissas!$B$51-(1-Premissas!$B$61)*Unitário!$B$24-(1-Premissas!$B$63)*Unitário!$B$25-(1-Premissas!$B$59)*Unitário!$B$22)</f>
        <v>226.4157</v>
      </c>
      <c r="M21" s="13" t="n">
        <f aca="false">IF($A21-(Premissas!$B$56)&gt;=1,INDEX($H$5:$H$94,$A21-(Premissas!$B$56)),0)*(Premissas!$B$52-Unitário!$B$27)</f>
        <v>0</v>
      </c>
      <c r="N21" s="13" t="n">
        <f aca="false">-IF($A21-(Premissas!$B$60)&gt;=1,INDEX($H$5:$H$94,$A21-(Premissas!$B$60)),0)*(Premissas!$B$59*Unitário!$B$22+Premissas!$B$31)</f>
        <v>-35</v>
      </c>
      <c r="O21" s="13" t="n">
        <f aca="false">IF($A21-(Premissas!$B$54+Premissas!$B$57)&gt;=1,INDEX($H$5:$H$94,$A21-(Premissas!$B$54+Premissas!$B$57)),0)*Premissas!$B$27*(-Premissas!$B$52-Premissas!$B$41+Unitário!$B$27+(1-Premissas!$B$62)*Premissas!$B$31+Premissas!$B$59*Unitário!$B$22)</f>
        <v>-0</v>
      </c>
      <c r="P21" s="13" t="n">
        <f aca="false">-Premissas!$B$42*(IF($A21-(Premissas!$B$54+Premissas!$B$55)&gt;=1,INDEX($G$5:$G$94,$A21-(Premissas!$B$54+Premissas!$B$55)),0)*Unitário!$B$21*Premissas!$B$51+IF($A21-(Premissas!$B$56)&gt;=1,INDEX($H$5:$H$94,$A21-(Premissas!$B$56)),0)*(1-Premissas!$B$27)*Premissas!$B$52)</f>
        <v>-0</v>
      </c>
      <c r="Q21" s="13" t="n">
        <f aca="false">-IF(AND(DAY(B21+Premissas!$B$15)=Premissas!$B$16,B21+Premissas!$B$15&gt;=DATE(YEAR(Premissas!$B$11),MONTH(Premissas!$B$11)+1,Premissas!$B$16)),Premissas!$B$43,0)-IF(OR(E21&lt;0,F21&lt;0,IF(AND(DAY(B21+Premissas!$B$15)=Premissas!$B$16,B21+Premissas!$B$15&gt;=DATE(YEAR(Premissas!$B$11),MONTH(Premissas!$B$11)+1,Premissas!$B$16)),Premissas!$B$43,0)&gt;0),Premissas!$B$67*Premissas!$B$68,0)</f>
        <v>-0</v>
      </c>
      <c r="R21" s="13" t="n">
        <f aca="false">E21+F21+SUM(I21:Q21)</f>
        <v>65.99260857</v>
      </c>
      <c r="S21" s="13" t="n">
        <f aca="false">S20+R21</f>
        <v>-504.730890139</v>
      </c>
      <c r="T21" s="16" t="n">
        <f aca="false">IF(AND($A21&gt;$B$100,S21&gt;=0),1,0)</f>
        <v>0</v>
      </c>
      <c r="U21" s="13" t="n">
        <f aca="false">S21-SUM($E$5:E21)-(1+Premissas!$B$17)*SUM($C$5:C21)</f>
        <v>-1301.540890139</v>
      </c>
      <c r="V21" s="13" t="n">
        <f aca="false">(G21+H21)*Premissas!$B$21</f>
        <v>0</v>
      </c>
      <c r="W21" s="16" t="n">
        <f aca="false">IF(V21&gt;0,DATE(YEAR(B21),MONTH(B21)+1,Premissas!$B$16)-Premissas!$B$11+1-Premissas!$B$15,0)</f>
        <v>0</v>
      </c>
      <c r="X21" s="13" t="n">
        <f aca="false">X20-Y20+C21*(1+Premissas!$B$17)</f>
        <v>56.915</v>
      </c>
      <c r="Y21" s="13" t="n">
        <f aca="false">IF(OR(X21&gt;=Premissas!$B$13,B21=DATE(YEAR(B21),MONTH(B21)+1,0)),X21,0)</f>
        <v>0</v>
      </c>
      <c r="Z21" s="13" t="n">
        <f aca="false">Z20-AA20+C21/Premissas!$B$18*Premissas!$B$20</f>
        <v>9</v>
      </c>
      <c r="AA21" s="13" t="n">
        <f aca="false">IF(OR(Z21&gt;=Premissas!$B$14,B21=DATE(YEAR(B21),MONTH(B21)+1,0)),Z21,0)</f>
        <v>0</v>
      </c>
      <c r="AB21" s="16" t="n">
        <f aca="false">IF(AA21&gt;0,IF(DAY(B21)&lt;=Premissas!$B$12,DATE(YEAR(B21),MONTH(B21),Premissas!$B$16),DATE(YEAR(B21),MONTH(B21)+1,Premissas!$B$16))-Premissas!$B$11+1-Premissas!$B$15,0)</f>
        <v>0</v>
      </c>
    </row>
    <row r="22" customFormat="false" ht="15" hidden="false" customHeight="true" outlineLevel="0" collapsed="false">
      <c r="A22" s="16" t="n">
        <v>18</v>
      </c>
      <c r="B22" s="31" t="n">
        <f aca="false">Premissas!$B$11+A22-1</f>
        <v>46335</v>
      </c>
      <c r="C22" s="13" t="n">
        <f aca="false">IF(A22&lt;=Premissas!$B$7,Premissas!$B$6/Premissas!$B$7,IF(A22&lt;=Premissas!$B$7+Premissas!$B$8,0,IF(A22&lt;=Premissas!$B$7+Premissas!$B$8+Premissas!$B$10,Premissas!$B$9/Premissas!$B$10,0)))</f>
        <v>0</v>
      </c>
      <c r="D22" s="16" t="n">
        <f aca="false">IF(Y22&gt;0,IF(DAY(B22)&lt;=Premissas!$B$12,DATE(YEAR(B22),MONTH(B22),Premissas!$B$16),DATE(YEAR(B22),MONTH(B22)+1,Premissas!$B$16))-Premissas!$B$11+1-Premissas!$B$15,0)</f>
        <v>0</v>
      </c>
      <c r="E22" s="13" t="n">
        <f aca="false">-SUMIF($D$5:$D$94,A22,$Y$5:$Y$94)</f>
        <v>-0</v>
      </c>
      <c r="F22" s="13" t="n">
        <f aca="false">-SUMIF($W$5:$W$94,A22,$V$5:$V$94)-SUMIF($AB$5:$AB$94,A22,$AA$5:$AA$94)</f>
        <v>-0</v>
      </c>
      <c r="G22" s="30" t="n">
        <f aca="false">C22/Premissas!$B$18*Premissas!$B$19*Premissas!$B$23</f>
        <v>0</v>
      </c>
      <c r="H22" s="30" t="n">
        <f aca="false">C22/Premissas!$B$18*Premissas!$B$19*Premissas!$B$24</f>
        <v>0</v>
      </c>
      <c r="I22" s="13" t="n">
        <f aca="false">-IF($A22-(Premissas!$B$60)&gt;=1,INDEX($G$5:$G$94,$A22-(Premissas!$B$60)),0)*(Premissas!$B$59*Unitário!$B$22+(Premissas!$B$61*Unitário!$B$24+Premissas!$B$63*Unitário!$B$25))</f>
        <v>-0</v>
      </c>
      <c r="J22" s="13" t="n">
        <f aca="false">IF($A22-(Premissas!$B$54)&gt;=1,INDEX($G$5:$G$94,$A22-(Premissas!$B$54)),0)*Premissas!$B$26*((Premissas!$B$59*Unitário!$B$22+(Premissas!$B$61*Unitário!$B$24+Premissas!$B$63*Unitário!$B$25))-Premissas!$B$39)</f>
        <v>20.91472957</v>
      </c>
      <c r="K22" s="13" t="n">
        <f aca="false">IF($A22-(Premissas!$B$54+Premissas!$B$57)&gt;=1,INDEX($G$5:$G$94,$A22-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22" s="13" t="n">
        <f aca="false">IF($A22-(Premissas!$B$54+Premissas!$B$55)&gt;=1,INDEX($G$5:$G$94,$A22-(Premissas!$B$54+Premissas!$B$55)),0)*Unitário!$B$21*(Premissas!$B$51-(1-Premissas!$B$61)*Unitário!$B$24-(1-Premissas!$B$63)*Unitário!$B$25-(1-Premissas!$B$59)*Unitário!$B$22)</f>
        <v>226.4157</v>
      </c>
      <c r="M22" s="13" t="n">
        <f aca="false">IF($A22-(Premissas!$B$56)&gt;=1,INDEX($H$5:$H$94,$A22-(Premissas!$B$56)),0)*(Premissas!$B$52-Unitário!$B$27)</f>
        <v>0</v>
      </c>
      <c r="N22" s="13" t="n">
        <f aca="false">-IF($A22-(Premissas!$B$60)&gt;=1,INDEX($H$5:$H$94,$A22-(Premissas!$B$60)),0)*(Premissas!$B$59*Unitário!$B$22+Premissas!$B$31)</f>
        <v>-0</v>
      </c>
      <c r="O22" s="13" t="n">
        <f aca="false">IF($A22-(Premissas!$B$54+Premissas!$B$57)&gt;=1,INDEX($H$5:$H$94,$A22-(Premissas!$B$54+Premissas!$B$57)),0)*Premissas!$B$27*(-Premissas!$B$52-Premissas!$B$41+Unitário!$B$27+(1-Premissas!$B$62)*Premissas!$B$31+Premissas!$B$59*Unitário!$B$22)</f>
        <v>-0</v>
      </c>
      <c r="P22" s="13" t="n">
        <f aca="false">-Premissas!$B$42*(IF($A22-(Premissas!$B$54+Premissas!$B$55)&gt;=1,INDEX($G$5:$G$94,$A22-(Premissas!$B$54+Premissas!$B$55)),0)*Unitário!$B$21*Premissas!$B$51+IF($A22-(Premissas!$B$56)&gt;=1,INDEX($H$5:$H$94,$A22-(Premissas!$B$56)),0)*(1-Premissas!$B$27)*Premissas!$B$52)</f>
        <v>-0</v>
      </c>
      <c r="Q22" s="13" t="n">
        <f aca="false">-IF(AND(DAY(B22+Premissas!$B$15)=Premissas!$B$16,B22+Premissas!$B$15&gt;=DATE(YEAR(Premissas!$B$11),MONTH(Premissas!$B$11)+1,Premissas!$B$16)),Premissas!$B$43,0)-IF(OR(E22&lt;0,F22&lt;0,IF(AND(DAY(B22+Premissas!$B$15)=Premissas!$B$16,B22+Premissas!$B$15&gt;=DATE(YEAR(Premissas!$B$11),MONTH(Premissas!$B$11)+1,Premissas!$B$16)),Premissas!$B$43,0)&gt;0),Premissas!$B$67*Premissas!$B$68,0)</f>
        <v>-0</v>
      </c>
      <c r="R22" s="13" t="n">
        <f aca="false">E22+F22+SUM(I22:Q22)</f>
        <v>247.33042957</v>
      </c>
      <c r="S22" s="13" t="n">
        <f aca="false">S21+R22</f>
        <v>-257.400460569</v>
      </c>
      <c r="T22" s="16" t="n">
        <f aca="false">IF(AND($A22&gt;$B$100,S22&gt;=0),1,0)</f>
        <v>0</v>
      </c>
      <c r="U22" s="13" t="n">
        <f aca="false">S22-SUM($E$5:E22)-(1+Premissas!$B$17)*SUM($C$5:C22)</f>
        <v>-1054.210460569</v>
      </c>
      <c r="V22" s="13" t="n">
        <f aca="false">(G22+H22)*Premissas!$B$21</f>
        <v>0</v>
      </c>
      <c r="W22" s="16" t="n">
        <f aca="false">IF(V22&gt;0,DATE(YEAR(B22),MONTH(B22)+1,Premissas!$B$16)-Premissas!$B$11+1-Premissas!$B$15,0)</f>
        <v>0</v>
      </c>
      <c r="X22" s="13" t="n">
        <f aca="false">X21-Y21+C22*(1+Premissas!$B$17)</f>
        <v>56.915</v>
      </c>
      <c r="Y22" s="13" t="n">
        <f aca="false">IF(OR(X22&gt;=Premissas!$B$13,B22=DATE(YEAR(B22),MONTH(B22)+1,0)),X22,0)</f>
        <v>0</v>
      </c>
      <c r="Z22" s="13" t="n">
        <f aca="false">Z21-AA21+C22/Premissas!$B$18*Premissas!$B$20</f>
        <v>9</v>
      </c>
      <c r="AA22" s="13" t="n">
        <f aca="false">IF(OR(Z22&gt;=Premissas!$B$14,B22=DATE(YEAR(B22),MONTH(B22)+1,0)),Z22,0)</f>
        <v>0</v>
      </c>
      <c r="AB22" s="16" t="n">
        <f aca="false">IF(AA22&gt;0,IF(DAY(B22)&lt;=Premissas!$B$12,DATE(YEAR(B22),MONTH(B22),Premissas!$B$16),DATE(YEAR(B22),MONTH(B22)+1,Premissas!$B$16))-Premissas!$B$11+1-Premissas!$B$15,0)</f>
        <v>0</v>
      </c>
    </row>
    <row r="23" customFormat="false" ht="15" hidden="false" customHeight="true" outlineLevel="0" collapsed="false">
      <c r="A23" s="16" t="n">
        <v>19</v>
      </c>
      <c r="B23" s="31" t="n">
        <f aca="false">Premissas!$B$11+A23-1</f>
        <v>46336</v>
      </c>
      <c r="C23" s="13" t="n">
        <f aca="false">IF(A23&lt;=Premissas!$B$7,Premissas!$B$6/Premissas!$B$7,IF(A23&lt;=Premissas!$B$7+Premissas!$B$8,0,IF(A23&lt;=Premissas!$B$7+Premissas!$B$8+Premissas!$B$10,Premissas!$B$9/Premissas!$B$10,0)))</f>
        <v>0</v>
      </c>
      <c r="D23" s="16" t="n">
        <f aca="false">IF(Y23&gt;0,IF(DAY(B23)&lt;=Premissas!$B$12,DATE(YEAR(B23),MONTH(B23),Premissas!$B$16),DATE(YEAR(B23),MONTH(B23)+1,Premissas!$B$16))-Premissas!$B$11+1-Premissas!$B$15,0)</f>
        <v>0</v>
      </c>
      <c r="E23" s="13" t="n">
        <f aca="false">-SUMIF($D$5:$D$94,A23,$Y$5:$Y$94)</f>
        <v>-0</v>
      </c>
      <c r="F23" s="13" t="n">
        <f aca="false">-SUMIF($W$5:$W$94,A23,$V$5:$V$94)-SUMIF($AB$5:$AB$94,A23,$AA$5:$AA$94)</f>
        <v>-0</v>
      </c>
      <c r="G23" s="30" t="n">
        <f aca="false">C23/Premissas!$B$18*Premissas!$B$19*Premissas!$B$23</f>
        <v>0</v>
      </c>
      <c r="H23" s="30" t="n">
        <f aca="false">C23/Premissas!$B$18*Premissas!$B$19*Premissas!$B$24</f>
        <v>0</v>
      </c>
      <c r="I23" s="13" t="n">
        <f aca="false">-IF($A23-(Premissas!$B$60)&gt;=1,INDEX($G$5:$G$94,$A23-(Premissas!$B$60)),0)*(Premissas!$B$59*Unitário!$B$22+(Premissas!$B$61*Unitário!$B$24+Premissas!$B$63*Unitário!$B$25))</f>
        <v>-0</v>
      </c>
      <c r="J23" s="13" t="n">
        <f aca="false">IF($A23-(Premissas!$B$54)&gt;=1,INDEX($G$5:$G$94,$A23-(Premissas!$B$54)),0)*Premissas!$B$26*((Premissas!$B$59*Unitário!$B$22+(Premissas!$B$61*Unitário!$B$24+Premissas!$B$63*Unitário!$B$25))-Premissas!$B$39)</f>
        <v>0</v>
      </c>
      <c r="K23" s="13" t="n">
        <f aca="false">IF($A23-(Premissas!$B$54+Premissas!$B$57)&gt;=1,INDEX($G$5:$G$94,$A23-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6.336039143</v>
      </c>
      <c r="L23" s="13" t="n">
        <f aca="false">IF($A23-(Premissas!$B$54+Premissas!$B$55)&gt;=1,INDEX($G$5:$G$94,$A23-(Premissas!$B$54+Premissas!$B$55)),0)*Unitário!$B$21*(Premissas!$B$51-(1-Premissas!$B$61)*Unitário!$B$24-(1-Premissas!$B$63)*Unitário!$B$25-(1-Premissas!$B$59)*Unitário!$B$22)</f>
        <v>226.4157</v>
      </c>
      <c r="M23" s="13" t="n">
        <f aca="false">IF($A23-(Premissas!$B$56)&gt;=1,INDEX($H$5:$H$94,$A23-(Premissas!$B$56)),0)*(Premissas!$B$52-Unitário!$B$27)</f>
        <v>0</v>
      </c>
      <c r="N23" s="13" t="n">
        <f aca="false">-IF($A23-(Premissas!$B$60)&gt;=1,INDEX($H$5:$H$94,$A23-(Premissas!$B$60)),0)*(Premissas!$B$59*Unitário!$B$22+Premissas!$B$31)</f>
        <v>-0</v>
      </c>
      <c r="O23" s="13" t="n">
        <f aca="false">IF($A23-(Premissas!$B$54+Premissas!$B$57)&gt;=1,INDEX($H$5:$H$94,$A23-(Premissas!$B$54+Premissas!$B$57)),0)*Premissas!$B$27*(-Premissas!$B$52-Premissas!$B$41+Unitário!$B$27+(1-Premissas!$B$62)*Premissas!$B$31+Premissas!$B$59*Unitário!$B$22)</f>
        <v>-12.79202365</v>
      </c>
      <c r="P23" s="13" t="n">
        <f aca="false">-Premissas!$B$42*(IF($A23-(Premissas!$B$54+Premissas!$B$55)&gt;=1,INDEX($G$5:$G$94,$A23-(Premissas!$B$54+Premissas!$B$55)),0)*Unitário!$B$21*Premissas!$B$51+IF($A23-(Premissas!$B$56)&gt;=1,INDEX($H$5:$H$94,$A23-(Premissas!$B$56)),0)*(1-Premissas!$B$27)*Premissas!$B$52)</f>
        <v>-0</v>
      </c>
      <c r="Q23" s="13" t="n">
        <f aca="false">-IF(AND(DAY(B23+Premissas!$B$15)=Premissas!$B$16,B23+Premissas!$B$15&gt;=DATE(YEAR(Premissas!$B$11),MONTH(Premissas!$B$11)+1,Premissas!$B$16)),Premissas!$B$43,0)-IF(OR(E23&lt;0,F23&lt;0,IF(AND(DAY(B23+Premissas!$B$15)=Premissas!$B$16,B23+Premissas!$B$15&gt;=DATE(YEAR(Premissas!$B$11),MONTH(Premissas!$B$11)+1,Premissas!$B$16)),Premissas!$B$43,0)&gt;0),Premissas!$B$67*Premissas!$B$68,0)</f>
        <v>-0</v>
      </c>
      <c r="R23" s="13" t="n">
        <f aca="false">E23+F23+SUM(I23:Q23)</f>
        <v>219.959715493</v>
      </c>
      <c r="S23" s="13" t="n">
        <f aca="false">S22+R23</f>
        <v>-37.4407450760001</v>
      </c>
      <c r="T23" s="16" t="n">
        <f aca="false">IF(AND($A23&gt;$B$100,S23&gt;=0),1,0)</f>
        <v>0</v>
      </c>
      <c r="U23" s="13" t="n">
        <f aca="false">S23-SUM($E$5:E23)-(1+Premissas!$B$17)*SUM($C$5:C23)</f>
        <v>-834.250745076</v>
      </c>
      <c r="V23" s="13" t="n">
        <f aca="false">(G23+H23)*Premissas!$B$21</f>
        <v>0</v>
      </c>
      <c r="W23" s="16" t="n">
        <f aca="false">IF(V23&gt;0,DATE(YEAR(B23),MONTH(B23)+1,Premissas!$B$16)-Premissas!$B$11+1-Premissas!$B$15,0)</f>
        <v>0</v>
      </c>
      <c r="X23" s="13" t="n">
        <f aca="false">X22-Y22+C23*(1+Premissas!$B$17)</f>
        <v>56.915</v>
      </c>
      <c r="Y23" s="13" t="n">
        <f aca="false">IF(OR(X23&gt;=Premissas!$B$13,B23=DATE(YEAR(B23),MONTH(B23)+1,0)),X23,0)</f>
        <v>0</v>
      </c>
      <c r="Z23" s="13" t="n">
        <f aca="false">Z22-AA22+C23/Premissas!$B$18*Premissas!$B$20</f>
        <v>9</v>
      </c>
      <c r="AA23" s="13" t="n">
        <f aca="false">IF(OR(Z23&gt;=Premissas!$B$14,B23=DATE(YEAR(B23),MONTH(B23)+1,0)),Z23,0)</f>
        <v>0</v>
      </c>
      <c r="AB23" s="16" t="n">
        <f aca="false">IF(AA23&gt;0,IF(DAY(B23)&lt;=Premissas!$B$12,DATE(YEAR(B23),MONTH(B23),Premissas!$B$16),DATE(YEAR(B23),MONTH(B23)+1,Premissas!$B$16))-Premissas!$B$11+1-Premissas!$B$15,0)</f>
        <v>0</v>
      </c>
    </row>
    <row r="24" customFormat="false" ht="15" hidden="false" customHeight="true" outlineLevel="0" collapsed="false">
      <c r="A24" s="16" t="n">
        <v>20</v>
      </c>
      <c r="B24" s="31" t="n">
        <f aca="false">Premissas!$B$11+A24-1</f>
        <v>46337</v>
      </c>
      <c r="C24" s="13" t="n">
        <f aca="false">IF(A24&lt;=Premissas!$B$7,Premissas!$B$6/Premissas!$B$7,IF(A24&lt;=Premissas!$B$7+Premissas!$B$8,0,IF(A24&lt;=Premissas!$B$7+Premissas!$B$8+Premissas!$B$10,Premissas!$B$9/Premissas!$B$10,0)))</f>
        <v>0</v>
      </c>
      <c r="D24" s="16" t="n">
        <f aca="false">IF(Y24&gt;0,IF(DAY(B24)&lt;=Premissas!$B$12,DATE(YEAR(B24),MONTH(B24),Premissas!$B$16),DATE(YEAR(B24),MONTH(B24)+1,Premissas!$B$16))-Premissas!$B$11+1-Premissas!$B$15,0)</f>
        <v>0</v>
      </c>
      <c r="E24" s="13" t="n">
        <f aca="false">-SUMIF($D$5:$D$94,A24,$Y$5:$Y$94)</f>
        <v>-0</v>
      </c>
      <c r="F24" s="13" t="n">
        <f aca="false">-SUMIF($W$5:$W$94,A24,$V$5:$V$94)-SUMIF($AB$5:$AB$94,A24,$AA$5:$AA$94)</f>
        <v>-0</v>
      </c>
      <c r="G24" s="30" t="n">
        <f aca="false">C24/Premissas!$B$18*Premissas!$B$19*Premissas!$B$23</f>
        <v>0</v>
      </c>
      <c r="H24" s="30" t="n">
        <f aca="false">C24/Premissas!$B$18*Premissas!$B$19*Premissas!$B$24</f>
        <v>0</v>
      </c>
      <c r="I24" s="13" t="n">
        <f aca="false">-IF($A24-(Premissas!$B$60)&gt;=1,INDEX($G$5:$G$94,$A24-(Premissas!$B$60)),0)*(Premissas!$B$59*Unitário!$B$22+(Premissas!$B$61*Unitário!$B$24+Premissas!$B$63*Unitário!$B$25))</f>
        <v>-0</v>
      </c>
      <c r="J24" s="13" t="n">
        <f aca="false">IF($A24-(Premissas!$B$54)&gt;=1,INDEX($G$5:$G$94,$A24-(Premissas!$B$54)),0)*Premissas!$B$26*((Premissas!$B$59*Unitário!$B$22+(Premissas!$B$61*Unitário!$B$24+Premissas!$B$63*Unitário!$B$25))-Premissas!$B$39)</f>
        <v>0</v>
      </c>
      <c r="K24" s="13" t="n">
        <f aca="false">IF($A24-(Premissas!$B$54+Premissas!$B$57)&gt;=1,INDEX($G$5:$G$94,$A24-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6.336039143</v>
      </c>
      <c r="L24" s="13" t="n">
        <f aca="false">IF($A24-(Premissas!$B$54+Premissas!$B$55)&gt;=1,INDEX($G$5:$G$94,$A24-(Premissas!$B$54+Premissas!$B$55)),0)*Unitário!$B$21*(Premissas!$B$51-(1-Premissas!$B$61)*Unitário!$B$24-(1-Premissas!$B$63)*Unitário!$B$25-(1-Premissas!$B$59)*Unitário!$B$22)</f>
        <v>226.4157</v>
      </c>
      <c r="M24" s="13" t="n">
        <f aca="false">IF($A24-(Premissas!$B$56)&gt;=1,INDEX($H$5:$H$94,$A24-(Premissas!$B$56)),0)*(Premissas!$B$52-Unitário!$B$27)</f>
        <v>0</v>
      </c>
      <c r="N24" s="13" t="n">
        <f aca="false">-IF($A24-(Premissas!$B$60)&gt;=1,INDEX($H$5:$H$94,$A24-(Premissas!$B$60)),0)*(Premissas!$B$59*Unitário!$B$22+Premissas!$B$31)</f>
        <v>-0</v>
      </c>
      <c r="O24" s="13" t="n">
        <f aca="false">IF($A24-(Premissas!$B$54+Premissas!$B$57)&gt;=1,INDEX($H$5:$H$94,$A24-(Premissas!$B$54+Premissas!$B$57)),0)*Premissas!$B$27*(-Premissas!$B$52-Premissas!$B$41+Unitário!$B$27+(1-Premissas!$B$62)*Premissas!$B$31+Premissas!$B$59*Unitário!$B$22)</f>
        <v>-12.79202365</v>
      </c>
      <c r="P24" s="13" t="n">
        <f aca="false">-Premissas!$B$42*(IF($A24-(Premissas!$B$54+Premissas!$B$55)&gt;=1,INDEX($G$5:$G$94,$A24-(Premissas!$B$54+Premissas!$B$55)),0)*Unitário!$B$21*Premissas!$B$51+IF($A24-(Premissas!$B$56)&gt;=1,INDEX($H$5:$H$94,$A24-(Premissas!$B$56)),0)*(1-Premissas!$B$27)*Premissas!$B$52)</f>
        <v>-0</v>
      </c>
      <c r="Q24" s="13" t="n">
        <f aca="false">-IF(AND(DAY(B24+Premissas!$B$15)=Premissas!$B$16,B24+Premissas!$B$15&gt;=DATE(YEAR(Premissas!$B$11),MONTH(Premissas!$B$11)+1,Premissas!$B$16)),Premissas!$B$43,0)-IF(OR(E24&lt;0,F24&lt;0,IF(AND(DAY(B24+Premissas!$B$15)=Premissas!$B$16,B24+Premissas!$B$15&gt;=DATE(YEAR(Premissas!$B$11),MONTH(Premissas!$B$11)+1,Premissas!$B$16)),Premissas!$B$43,0)&gt;0),Premissas!$B$67*Premissas!$B$68,0)</f>
        <v>-0</v>
      </c>
      <c r="R24" s="13" t="n">
        <f aca="false">E24+F24+SUM(I24:Q24)</f>
        <v>219.959715493</v>
      </c>
      <c r="S24" s="13" t="n">
        <f aca="false">S23+R24</f>
        <v>182.518970417</v>
      </c>
      <c r="T24" s="16" t="n">
        <f aca="false">IF(AND($A24&gt;$B$100,S24&gt;=0),1,0)</f>
        <v>1</v>
      </c>
      <c r="U24" s="13" t="n">
        <f aca="false">S24-SUM($E$5:E24)-(1+Premissas!$B$17)*SUM($C$5:C24)</f>
        <v>-614.291029583</v>
      </c>
      <c r="V24" s="13" t="n">
        <f aca="false">(G24+H24)*Premissas!$B$21</f>
        <v>0</v>
      </c>
      <c r="W24" s="16" t="n">
        <f aca="false">IF(V24&gt;0,DATE(YEAR(B24),MONTH(B24)+1,Premissas!$B$16)-Premissas!$B$11+1-Premissas!$B$15,0)</f>
        <v>0</v>
      </c>
      <c r="X24" s="13" t="n">
        <f aca="false">X23-Y23+C24*(1+Premissas!$B$17)</f>
        <v>56.915</v>
      </c>
      <c r="Y24" s="13" t="n">
        <f aca="false">IF(OR(X24&gt;=Premissas!$B$13,B24=DATE(YEAR(B24),MONTH(B24)+1,0)),X24,0)</f>
        <v>0</v>
      </c>
      <c r="Z24" s="13" t="n">
        <f aca="false">Z23-AA23+C24/Premissas!$B$18*Premissas!$B$20</f>
        <v>9</v>
      </c>
      <c r="AA24" s="13" t="n">
        <f aca="false">IF(OR(Z24&gt;=Premissas!$B$14,B24=DATE(YEAR(B24),MONTH(B24)+1,0)),Z24,0)</f>
        <v>0</v>
      </c>
      <c r="AB24" s="16" t="n">
        <f aca="false">IF(AA24&gt;0,IF(DAY(B24)&lt;=Premissas!$B$12,DATE(YEAR(B24),MONTH(B24),Premissas!$B$16),DATE(YEAR(B24),MONTH(B24)+1,Premissas!$B$16))-Premissas!$B$11+1-Premissas!$B$15,0)</f>
        <v>0</v>
      </c>
    </row>
    <row r="25" customFormat="false" ht="15" hidden="false" customHeight="true" outlineLevel="0" collapsed="false">
      <c r="A25" s="16" t="n">
        <v>21</v>
      </c>
      <c r="B25" s="31" t="n">
        <f aca="false">Premissas!$B$11+A25-1</f>
        <v>46338</v>
      </c>
      <c r="C25" s="13" t="n">
        <f aca="false">IF(A25&lt;=Premissas!$B$7,Premissas!$B$6/Premissas!$B$7,IF(A25&lt;=Premissas!$B$7+Premissas!$B$8,0,IF(A25&lt;=Premissas!$B$7+Premissas!$B$8+Premissas!$B$10,Premissas!$B$9/Premissas!$B$10,0)))</f>
        <v>0</v>
      </c>
      <c r="D25" s="16" t="n">
        <f aca="false">IF(Y25&gt;0,IF(DAY(B25)&lt;=Premissas!$B$12,DATE(YEAR(B25),MONTH(B25),Premissas!$B$16),DATE(YEAR(B25),MONTH(B25)+1,Premissas!$B$16))-Premissas!$B$11+1-Premissas!$B$15,0)</f>
        <v>0</v>
      </c>
      <c r="E25" s="13" t="n">
        <f aca="false">-SUMIF($D$5:$D$94,A25,$Y$5:$Y$94)</f>
        <v>-0</v>
      </c>
      <c r="F25" s="13" t="n">
        <f aca="false">-SUMIF($W$5:$W$94,A25,$V$5:$V$94)-SUMIF($AB$5:$AB$94,A25,$AA$5:$AA$94)</f>
        <v>-0</v>
      </c>
      <c r="G25" s="30" t="n">
        <f aca="false">C25/Premissas!$B$18*Premissas!$B$19*Premissas!$B$23</f>
        <v>0</v>
      </c>
      <c r="H25" s="30" t="n">
        <f aca="false">C25/Premissas!$B$18*Premissas!$B$19*Premissas!$B$24</f>
        <v>0</v>
      </c>
      <c r="I25" s="13" t="n">
        <f aca="false">-IF($A25-(Premissas!$B$60)&gt;=1,INDEX($G$5:$G$94,$A25-(Premissas!$B$60)),0)*(Premissas!$B$59*Unitário!$B$22+(Premissas!$B$61*Unitário!$B$24+Premissas!$B$63*Unitário!$B$25))</f>
        <v>-0</v>
      </c>
      <c r="J25" s="13" t="n">
        <f aca="false">IF($A25-(Premissas!$B$54)&gt;=1,INDEX($G$5:$G$94,$A25-(Premissas!$B$54)),0)*Premissas!$B$26*((Premissas!$B$59*Unitário!$B$22+(Premissas!$B$61*Unitário!$B$24+Premissas!$B$63*Unitário!$B$25))-Premissas!$B$39)</f>
        <v>0</v>
      </c>
      <c r="K25" s="13" t="n">
        <f aca="false">IF($A25-(Premissas!$B$54+Premissas!$B$57)&gt;=1,INDEX($G$5:$G$94,$A25-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6.336039143</v>
      </c>
      <c r="L25" s="13" t="n">
        <f aca="false">IF($A25-(Premissas!$B$54+Premissas!$B$55)&gt;=1,INDEX($G$5:$G$94,$A25-(Premissas!$B$54+Premissas!$B$55)),0)*Unitário!$B$21*(Premissas!$B$51-(1-Premissas!$B$61)*Unitário!$B$24-(1-Premissas!$B$63)*Unitário!$B$25-(1-Premissas!$B$59)*Unitário!$B$22)</f>
        <v>226.4157</v>
      </c>
      <c r="M25" s="13" t="n">
        <f aca="false">IF($A25-(Premissas!$B$56)&gt;=1,INDEX($H$5:$H$94,$A25-(Premissas!$B$56)),0)*(Premissas!$B$52-Unitário!$B$27)</f>
        <v>0</v>
      </c>
      <c r="N25" s="13" t="n">
        <f aca="false">-IF($A25-(Premissas!$B$60)&gt;=1,INDEX($H$5:$H$94,$A25-(Premissas!$B$60)),0)*(Premissas!$B$59*Unitário!$B$22+Premissas!$B$31)</f>
        <v>-0</v>
      </c>
      <c r="O25" s="13" t="n">
        <f aca="false">IF($A25-(Premissas!$B$54+Premissas!$B$57)&gt;=1,INDEX($H$5:$H$94,$A25-(Premissas!$B$54+Premissas!$B$57)),0)*Premissas!$B$27*(-Premissas!$B$52-Premissas!$B$41+Unitário!$B$27+(1-Premissas!$B$62)*Premissas!$B$31+Premissas!$B$59*Unitário!$B$22)</f>
        <v>-12.79202365</v>
      </c>
      <c r="P25" s="13" t="n">
        <f aca="false">-Premissas!$B$42*(IF($A25-(Premissas!$B$54+Premissas!$B$55)&gt;=1,INDEX($G$5:$G$94,$A25-(Premissas!$B$54+Premissas!$B$55)),0)*Unitário!$B$21*Premissas!$B$51+IF($A25-(Premissas!$B$56)&gt;=1,INDEX($H$5:$H$94,$A25-(Premissas!$B$56)),0)*(1-Premissas!$B$27)*Premissas!$B$52)</f>
        <v>-0</v>
      </c>
      <c r="Q25" s="13" t="n">
        <f aca="false">-IF(AND(DAY(B25+Premissas!$B$15)=Premissas!$B$16,B25+Premissas!$B$15&gt;=DATE(YEAR(Premissas!$B$11),MONTH(Premissas!$B$11)+1,Premissas!$B$16)),Premissas!$B$43,0)-IF(OR(E25&lt;0,F25&lt;0,IF(AND(DAY(B25+Premissas!$B$15)=Premissas!$B$16,B25+Premissas!$B$15&gt;=DATE(YEAR(Premissas!$B$11),MONTH(Premissas!$B$11)+1,Premissas!$B$16)),Premissas!$B$43,0)&gt;0),Premissas!$B$67*Premissas!$B$68,0)</f>
        <v>-0</v>
      </c>
      <c r="R25" s="13" t="n">
        <f aca="false">E25+F25+SUM(I25:Q25)</f>
        <v>219.959715493</v>
      </c>
      <c r="S25" s="13" t="n">
        <f aca="false">S24+R25</f>
        <v>402.47868591</v>
      </c>
      <c r="T25" s="16" t="n">
        <f aca="false">IF(AND($A25&gt;$B$100,S25&gt;=0),1,0)</f>
        <v>1</v>
      </c>
      <c r="U25" s="13" t="n">
        <f aca="false">S25-SUM($E$5:E25)-(1+Premissas!$B$17)*SUM($C$5:C25)</f>
        <v>-394.33131409</v>
      </c>
      <c r="V25" s="13" t="n">
        <f aca="false">(G25+H25)*Premissas!$B$21</f>
        <v>0</v>
      </c>
      <c r="W25" s="16" t="n">
        <f aca="false">IF(V25&gt;0,DATE(YEAR(B25),MONTH(B25)+1,Premissas!$B$16)-Premissas!$B$11+1-Premissas!$B$15,0)</f>
        <v>0</v>
      </c>
      <c r="X25" s="13" t="n">
        <f aca="false">X24-Y24+C25*(1+Premissas!$B$17)</f>
        <v>56.915</v>
      </c>
      <c r="Y25" s="13" t="n">
        <f aca="false">IF(OR(X25&gt;=Premissas!$B$13,B25=DATE(YEAR(B25),MONTH(B25)+1,0)),X25,0)</f>
        <v>0</v>
      </c>
      <c r="Z25" s="13" t="n">
        <f aca="false">Z24-AA24+C25/Premissas!$B$18*Premissas!$B$20</f>
        <v>9</v>
      </c>
      <c r="AA25" s="13" t="n">
        <f aca="false">IF(OR(Z25&gt;=Premissas!$B$14,B25=DATE(YEAR(B25),MONTH(B25)+1,0)),Z25,0)</f>
        <v>0</v>
      </c>
      <c r="AB25" s="16" t="n">
        <f aca="false">IF(AA25&gt;0,IF(DAY(B25)&lt;=Premissas!$B$12,DATE(YEAR(B25),MONTH(B25),Premissas!$B$16),DATE(YEAR(B25),MONTH(B25)+1,Premissas!$B$16))-Premissas!$B$11+1-Premissas!$B$15,0)</f>
        <v>0</v>
      </c>
    </row>
    <row r="26" customFormat="false" ht="15" hidden="false" customHeight="true" outlineLevel="0" collapsed="false">
      <c r="A26" s="16" t="n">
        <v>22</v>
      </c>
      <c r="B26" s="31" t="n">
        <f aca="false">Premissas!$B$11+A26-1</f>
        <v>46339</v>
      </c>
      <c r="C26" s="13" t="n">
        <f aca="false">IF(A26&lt;=Premissas!$B$7,Premissas!$B$6/Premissas!$B$7,IF(A26&lt;=Premissas!$B$7+Premissas!$B$8,0,IF(A26&lt;=Premissas!$B$7+Premissas!$B$8+Premissas!$B$10,Premissas!$B$9/Premissas!$B$10,0)))</f>
        <v>0</v>
      </c>
      <c r="D26" s="16" t="n">
        <f aca="false">IF(Y26&gt;0,IF(DAY(B26)&lt;=Premissas!$B$12,DATE(YEAR(B26),MONTH(B26),Premissas!$B$16),DATE(YEAR(B26),MONTH(B26)+1,Premissas!$B$16))-Premissas!$B$11+1-Premissas!$B$15,0)</f>
        <v>0</v>
      </c>
      <c r="E26" s="13" t="n">
        <f aca="false">-SUMIF($D$5:$D$94,A26,$Y$5:$Y$94)</f>
        <v>-0</v>
      </c>
      <c r="F26" s="13" t="n">
        <f aca="false">-SUMIF($W$5:$W$94,A26,$V$5:$V$94)-SUMIF($AB$5:$AB$94,A26,$AA$5:$AA$94)</f>
        <v>-0</v>
      </c>
      <c r="G26" s="30" t="n">
        <f aca="false">C26/Premissas!$B$18*Premissas!$B$19*Premissas!$B$23</f>
        <v>0</v>
      </c>
      <c r="H26" s="30" t="n">
        <f aca="false">C26/Premissas!$B$18*Premissas!$B$19*Premissas!$B$24</f>
        <v>0</v>
      </c>
      <c r="I26" s="13" t="n">
        <f aca="false">-IF($A26-(Premissas!$B$60)&gt;=1,INDEX($G$5:$G$94,$A26-(Premissas!$B$60)),0)*(Premissas!$B$59*Unitário!$B$22+(Premissas!$B$61*Unitário!$B$24+Premissas!$B$63*Unitário!$B$25))</f>
        <v>-0</v>
      </c>
      <c r="J26" s="13" t="n">
        <f aca="false">IF($A26-(Premissas!$B$54)&gt;=1,INDEX($G$5:$G$94,$A26-(Premissas!$B$54)),0)*Premissas!$B$26*((Premissas!$B$59*Unitário!$B$22+(Premissas!$B$61*Unitário!$B$24+Premissas!$B$63*Unitário!$B$25))-Premissas!$B$39)</f>
        <v>0</v>
      </c>
      <c r="K26" s="13" t="n">
        <f aca="false">IF($A26-(Premissas!$B$54+Premissas!$B$57)&gt;=1,INDEX($G$5:$G$94,$A26-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6.336039143</v>
      </c>
      <c r="L26" s="13" t="n">
        <f aca="false">IF($A26-(Premissas!$B$54+Premissas!$B$55)&gt;=1,INDEX($G$5:$G$94,$A26-(Premissas!$B$54+Premissas!$B$55)),0)*Unitário!$B$21*(Premissas!$B$51-(1-Premissas!$B$61)*Unitário!$B$24-(1-Premissas!$B$63)*Unitário!$B$25-(1-Premissas!$B$59)*Unitário!$B$22)</f>
        <v>226.4157</v>
      </c>
      <c r="M26" s="13" t="n">
        <f aca="false">IF($A26-(Premissas!$B$56)&gt;=1,INDEX($H$5:$H$94,$A26-(Premissas!$B$56)),0)*(Premissas!$B$52-Unitário!$B$27)</f>
        <v>0</v>
      </c>
      <c r="N26" s="13" t="n">
        <f aca="false">-IF($A26-(Premissas!$B$60)&gt;=1,INDEX($H$5:$H$94,$A26-(Premissas!$B$60)),0)*(Premissas!$B$59*Unitário!$B$22+Premissas!$B$31)</f>
        <v>-0</v>
      </c>
      <c r="O26" s="13" t="n">
        <f aca="false">IF($A26-(Premissas!$B$54+Premissas!$B$57)&gt;=1,INDEX($H$5:$H$94,$A26-(Premissas!$B$54+Premissas!$B$57)),0)*Premissas!$B$27*(-Premissas!$B$52-Premissas!$B$41+Unitário!$B$27+(1-Premissas!$B$62)*Premissas!$B$31+Premissas!$B$59*Unitário!$B$22)</f>
        <v>-12.79202365</v>
      </c>
      <c r="P26" s="13" t="n">
        <f aca="false">-Premissas!$B$42*(IF($A26-(Premissas!$B$54+Premissas!$B$55)&gt;=1,INDEX($G$5:$G$94,$A26-(Premissas!$B$54+Premissas!$B$55)),0)*Unitário!$B$21*Premissas!$B$51+IF($A26-(Premissas!$B$56)&gt;=1,INDEX($H$5:$H$94,$A26-(Premissas!$B$56)),0)*(1-Premissas!$B$27)*Premissas!$B$52)</f>
        <v>-0</v>
      </c>
      <c r="Q26" s="13" t="n">
        <f aca="false">-IF(AND(DAY(B26+Premissas!$B$15)=Premissas!$B$16,B26+Premissas!$B$15&gt;=DATE(YEAR(Premissas!$B$11),MONTH(Premissas!$B$11)+1,Premissas!$B$16)),Premissas!$B$43,0)-IF(OR(E26&lt;0,F26&lt;0,IF(AND(DAY(B26+Premissas!$B$15)=Premissas!$B$16,B26+Premissas!$B$15&gt;=DATE(YEAR(Premissas!$B$11),MONTH(Premissas!$B$11)+1,Premissas!$B$16)),Premissas!$B$43,0)&gt;0),Premissas!$B$67*Premissas!$B$68,0)</f>
        <v>-0</v>
      </c>
      <c r="R26" s="13" t="n">
        <f aca="false">E26+F26+SUM(I26:Q26)</f>
        <v>219.959715493</v>
      </c>
      <c r="S26" s="13" t="n">
        <f aca="false">S25+R26</f>
        <v>622.438401403</v>
      </c>
      <c r="T26" s="16" t="n">
        <f aca="false">IF(AND($A26&gt;$B$100,S26&gt;=0),1,0)</f>
        <v>1</v>
      </c>
      <c r="U26" s="13" t="n">
        <f aca="false">S26-SUM($E$5:E26)-(1+Premissas!$B$17)*SUM($C$5:C26)</f>
        <v>-174.371598597</v>
      </c>
      <c r="V26" s="13" t="n">
        <f aca="false">(G26+H26)*Premissas!$B$21</f>
        <v>0</v>
      </c>
      <c r="W26" s="16" t="n">
        <f aca="false">IF(V26&gt;0,DATE(YEAR(B26),MONTH(B26)+1,Premissas!$B$16)-Premissas!$B$11+1-Premissas!$B$15,0)</f>
        <v>0</v>
      </c>
      <c r="X26" s="13" t="n">
        <f aca="false">X25-Y25+C26*(1+Premissas!$B$17)</f>
        <v>56.915</v>
      </c>
      <c r="Y26" s="13" t="n">
        <f aca="false">IF(OR(X26&gt;=Premissas!$B$13,B26=DATE(YEAR(B26),MONTH(B26)+1,0)),X26,0)</f>
        <v>0</v>
      </c>
      <c r="Z26" s="13" t="n">
        <f aca="false">Z25-AA25+C26/Premissas!$B$18*Premissas!$B$20</f>
        <v>9</v>
      </c>
      <c r="AA26" s="13" t="n">
        <f aca="false">IF(OR(Z26&gt;=Premissas!$B$14,B26=DATE(YEAR(B26),MONTH(B26)+1,0)),Z26,0)</f>
        <v>0</v>
      </c>
      <c r="AB26" s="16" t="n">
        <f aca="false">IF(AA26&gt;0,IF(DAY(B26)&lt;=Premissas!$B$12,DATE(YEAR(B26),MONTH(B26),Premissas!$B$16),DATE(YEAR(B26),MONTH(B26)+1,Premissas!$B$16))-Premissas!$B$11+1-Premissas!$B$15,0)</f>
        <v>0</v>
      </c>
    </row>
    <row r="27" customFormat="false" ht="15" hidden="false" customHeight="true" outlineLevel="0" collapsed="false">
      <c r="A27" s="16" t="n">
        <v>23</v>
      </c>
      <c r="B27" s="31" t="n">
        <f aca="false">Premissas!$B$11+A27-1</f>
        <v>46340</v>
      </c>
      <c r="C27" s="13" t="n">
        <f aca="false">IF(A27&lt;=Premissas!$B$7,Premissas!$B$6/Premissas!$B$7,IF(A27&lt;=Premissas!$B$7+Premissas!$B$8,0,IF(A27&lt;=Premissas!$B$7+Premissas!$B$8+Premissas!$B$10,Premissas!$B$9/Premissas!$B$10,0)))</f>
        <v>0</v>
      </c>
      <c r="D27" s="16" t="n">
        <f aca="false">IF(Y27&gt;0,IF(DAY(B27)&lt;=Premissas!$B$12,DATE(YEAR(B27),MONTH(B27),Premissas!$B$16),DATE(YEAR(B27),MONTH(B27)+1,Premissas!$B$16))-Premissas!$B$11+1-Premissas!$B$15,0)</f>
        <v>0</v>
      </c>
      <c r="E27" s="13" t="n">
        <f aca="false">-SUMIF($D$5:$D$94,A27,$Y$5:$Y$94)</f>
        <v>-0</v>
      </c>
      <c r="F27" s="13" t="n">
        <f aca="false">-SUMIF($W$5:$W$94,A27,$V$5:$V$94)-SUMIF($AB$5:$AB$94,A27,$AA$5:$AA$94)</f>
        <v>-0</v>
      </c>
      <c r="G27" s="30" t="n">
        <f aca="false">C27/Premissas!$B$18*Premissas!$B$19*Premissas!$B$23</f>
        <v>0</v>
      </c>
      <c r="H27" s="30" t="n">
        <f aca="false">C27/Premissas!$B$18*Premissas!$B$19*Premissas!$B$24</f>
        <v>0</v>
      </c>
      <c r="I27" s="13" t="n">
        <f aca="false">-IF($A27-(Premissas!$B$60)&gt;=1,INDEX($G$5:$G$94,$A27-(Premissas!$B$60)),0)*(Premissas!$B$59*Unitário!$B$22+(Premissas!$B$61*Unitário!$B$24+Premissas!$B$63*Unitário!$B$25))</f>
        <v>-0</v>
      </c>
      <c r="J27" s="13" t="n">
        <f aca="false">IF($A27-(Premissas!$B$54)&gt;=1,INDEX($G$5:$G$94,$A27-(Premissas!$B$54)),0)*Premissas!$B$26*((Premissas!$B$59*Unitário!$B$22+(Premissas!$B$61*Unitário!$B$24+Premissas!$B$63*Unitário!$B$25))-Premissas!$B$39)</f>
        <v>0</v>
      </c>
      <c r="K27" s="13" t="n">
        <f aca="false">IF($A27-(Premissas!$B$54+Premissas!$B$57)&gt;=1,INDEX($G$5:$G$94,$A27-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6.336039143</v>
      </c>
      <c r="L27" s="13" t="n">
        <f aca="false">IF($A27-(Premissas!$B$54+Premissas!$B$55)&gt;=1,INDEX($G$5:$G$94,$A27-(Premissas!$B$54+Premissas!$B$55)),0)*Unitário!$B$21*(Premissas!$B$51-(1-Premissas!$B$61)*Unitário!$B$24-(1-Premissas!$B$63)*Unitário!$B$25-(1-Premissas!$B$59)*Unitário!$B$22)</f>
        <v>226.4157</v>
      </c>
      <c r="M27" s="13" t="n">
        <f aca="false">IF($A27-(Premissas!$B$56)&gt;=1,INDEX($H$5:$H$94,$A27-(Premissas!$B$56)),0)*(Premissas!$B$52-Unitário!$B$27)</f>
        <v>0</v>
      </c>
      <c r="N27" s="13" t="n">
        <f aca="false">-IF($A27-(Premissas!$B$60)&gt;=1,INDEX($H$5:$H$94,$A27-(Premissas!$B$60)),0)*(Premissas!$B$59*Unitário!$B$22+Premissas!$B$31)</f>
        <v>-0</v>
      </c>
      <c r="O27" s="13" t="n">
        <f aca="false">IF($A27-(Premissas!$B$54+Premissas!$B$57)&gt;=1,INDEX($H$5:$H$94,$A27-(Premissas!$B$54+Premissas!$B$57)),0)*Premissas!$B$27*(-Premissas!$B$52-Premissas!$B$41+Unitário!$B$27+(1-Premissas!$B$62)*Premissas!$B$31+Premissas!$B$59*Unitário!$B$22)</f>
        <v>-12.79202365</v>
      </c>
      <c r="P27" s="13" t="n">
        <f aca="false">-Premissas!$B$42*(IF($A27-(Premissas!$B$54+Premissas!$B$55)&gt;=1,INDEX($G$5:$G$94,$A27-(Premissas!$B$54+Premissas!$B$55)),0)*Unitário!$B$21*Premissas!$B$51+IF($A27-(Premissas!$B$56)&gt;=1,INDEX($H$5:$H$94,$A27-(Premissas!$B$56)),0)*(1-Premissas!$B$27)*Premissas!$B$52)</f>
        <v>-0</v>
      </c>
      <c r="Q27" s="13" t="n">
        <f aca="false">-IF(AND(DAY(B27+Premissas!$B$15)=Premissas!$B$16,B27+Premissas!$B$15&gt;=DATE(YEAR(Premissas!$B$11),MONTH(Premissas!$B$11)+1,Premissas!$B$16)),Premissas!$B$43,0)-IF(OR(E27&lt;0,F27&lt;0,IF(AND(DAY(B27+Premissas!$B$15)=Premissas!$B$16,B27+Premissas!$B$15&gt;=DATE(YEAR(Premissas!$B$11),MONTH(Premissas!$B$11)+1,Premissas!$B$16)),Premissas!$B$43,0)&gt;0),Premissas!$B$67*Premissas!$B$68,0)</f>
        <v>-0</v>
      </c>
      <c r="R27" s="13" t="n">
        <f aca="false">E27+F27+SUM(I27:Q27)</f>
        <v>219.959715493</v>
      </c>
      <c r="S27" s="13" t="n">
        <f aca="false">S26+R27</f>
        <v>842.398116896</v>
      </c>
      <c r="T27" s="16" t="n">
        <f aca="false">IF(AND($A27&gt;$B$100,S27&gt;=0),1,0)</f>
        <v>1</v>
      </c>
      <c r="U27" s="13" t="n">
        <f aca="false">S27-SUM($E$5:E27)-(1+Premissas!$B$17)*SUM($C$5:C27)</f>
        <v>45.5881168959999</v>
      </c>
      <c r="V27" s="13" t="n">
        <f aca="false">(G27+H27)*Premissas!$B$21</f>
        <v>0</v>
      </c>
      <c r="W27" s="16" t="n">
        <f aca="false">IF(V27&gt;0,DATE(YEAR(B27),MONTH(B27)+1,Premissas!$B$16)-Premissas!$B$11+1-Premissas!$B$15,0)</f>
        <v>0</v>
      </c>
      <c r="X27" s="13" t="n">
        <f aca="false">X26-Y26+C27*(1+Premissas!$B$17)</f>
        <v>56.915</v>
      </c>
      <c r="Y27" s="13" t="n">
        <f aca="false">IF(OR(X27&gt;=Premissas!$B$13,B27=DATE(YEAR(B27),MONTH(B27)+1,0)),X27,0)</f>
        <v>0</v>
      </c>
      <c r="Z27" s="13" t="n">
        <f aca="false">Z26-AA26+C27/Premissas!$B$18*Premissas!$B$20</f>
        <v>9</v>
      </c>
      <c r="AA27" s="13" t="n">
        <f aca="false">IF(OR(Z27&gt;=Premissas!$B$14,B27=DATE(YEAR(B27),MONTH(B27)+1,0)),Z27,0)</f>
        <v>0</v>
      </c>
      <c r="AB27" s="16" t="n">
        <f aca="false">IF(AA27&gt;0,IF(DAY(B27)&lt;=Premissas!$B$12,DATE(YEAR(B27),MONTH(B27),Premissas!$B$16),DATE(YEAR(B27),MONTH(B27)+1,Premissas!$B$16))-Premissas!$B$11+1-Premissas!$B$15,0)</f>
        <v>0</v>
      </c>
    </row>
    <row r="28" customFormat="false" ht="15" hidden="false" customHeight="true" outlineLevel="0" collapsed="false">
      <c r="A28" s="16" t="n">
        <v>24</v>
      </c>
      <c r="B28" s="31" t="n">
        <f aca="false">Premissas!$B$11+A28-1</f>
        <v>46341</v>
      </c>
      <c r="C28" s="13" t="n">
        <f aca="false">IF(A28&lt;=Premissas!$B$7,Premissas!$B$6/Premissas!$B$7,IF(A28&lt;=Premissas!$B$7+Premissas!$B$8,0,IF(A28&lt;=Premissas!$B$7+Premissas!$B$8+Premissas!$B$10,Premissas!$B$9/Premissas!$B$10,0)))</f>
        <v>0</v>
      </c>
      <c r="D28" s="16" t="n">
        <f aca="false">IF(Y28&gt;0,IF(DAY(B28)&lt;=Premissas!$B$12,DATE(YEAR(B28),MONTH(B28),Premissas!$B$16),DATE(YEAR(B28),MONTH(B28)+1,Premissas!$B$16))-Premissas!$B$11+1-Premissas!$B$15,0)</f>
        <v>0</v>
      </c>
      <c r="E28" s="13" t="n">
        <f aca="false">-SUMIF($D$5:$D$94,A28,$Y$5:$Y$94)</f>
        <v>-0</v>
      </c>
      <c r="F28" s="13" t="n">
        <f aca="false">-SUMIF($W$5:$W$94,A28,$V$5:$V$94)-SUMIF($AB$5:$AB$94,A28,$AA$5:$AA$94)</f>
        <v>-0</v>
      </c>
      <c r="G28" s="30" t="n">
        <f aca="false">C28/Premissas!$B$18*Premissas!$B$19*Premissas!$B$23</f>
        <v>0</v>
      </c>
      <c r="H28" s="30" t="n">
        <f aca="false">C28/Premissas!$B$18*Premissas!$B$19*Premissas!$B$24</f>
        <v>0</v>
      </c>
      <c r="I28" s="13" t="n">
        <f aca="false">-IF($A28-(Premissas!$B$60)&gt;=1,INDEX($G$5:$G$94,$A28-(Premissas!$B$60)),0)*(Premissas!$B$59*Unitário!$B$22+(Premissas!$B$61*Unitário!$B$24+Premissas!$B$63*Unitário!$B$25))</f>
        <v>-0</v>
      </c>
      <c r="J28" s="13" t="n">
        <f aca="false">IF($A28-(Premissas!$B$54)&gt;=1,INDEX($G$5:$G$94,$A28-(Premissas!$B$54)),0)*Premissas!$B$26*((Premissas!$B$59*Unitário!$B$22+(Premissas!$B$61*Unitário!$B$24+Premissas!$B$63*Unitário!$B$25))-Premissas!$B$39)</f>
        <v>0</v>
      </c>
      <c r="K28" s="13" t="n">
        <f aca="false">IF($A28-(Premissas!$B$54+Premissas!$B$57)&gt;=1,INDEX($G$5:$G$94,$A28-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6.336039143</v>
      </c>
      <c r="L28" s="13" t="n">
        <f aca="false">IF($A28-(Premissas!$B$54+Premissas!$B$55)&gt;=1,INDEX($G$5:$G$94,$A28-(Premissas!$B$54+Premissas!$B$55)),0)*Unitário!$B$21*(Premissas!$B$51-(1-Premissas!$B$61)*Unitário!$B$24-(1-Premissas!$B$63)*Unitário!$B$25-(1-Premissas!$B$59)*Unitário!$B$22)</f>
        <v>0</v>
      </c>
      <c r="M28" s="13" t="n">
        <f aca="false">IF($A28-(Premissas!$B$56)&gt;=1,INDEX($H$5:$H$94,$A28-(Premissas!$B$56)),0)*(Premissas!$B$52-Unitário!$B$27)</f>
        <v>0</v>
      </c>
      <c r="N28" s="13" t="n">
        <f aca="false">-IF($A28-(Premissas!$B$60)&gt;=1,INDEX($H$5:$H$94,$A28-(Premissas!$B$60)),0)*(Premissas!$B$59*Unitário!$B$22+Premissas!$B$31)</f>
        <v>-0</v>
      </c>
      <c r="O28" s="13" t="n">
        <f aca="false">IF($A28-(Premissas!$B$54+Premissas!$B$57)&gt;=1,INDEX($H$5:$H$94,$A28-(Premissas!$B$54+Premissas!$B$57)),0)*Premissas!$B$27*(-Premissas!$B$52-Premissas!$B$41+Unitário!$B$27+(1-Premissas!$B$62)*Premissas!$B$31+Premissas!$B$59*Unitário!$B$22)</f>
        <v>-12.79202365</v>
      </c>
      <c r="P28" s="13" t="n">
        <f aca="false">-Premissas!$B$42*(IF($A28-(Premissas!$B$54+Premissas!$B$55)&gt;=1,INDEX($G$5:$G$94,$A28-(Premissas!$B$54+Premissas!$B$55)),0)*Unitário!$B$21*Premissas!$B$51+IF($A28-(Premissas!$B$56)&gt;=1,INDEX($H$5:$H$94,$A28-(Premissas!$B$56)),0)*(1-Premissas!$B$27)*Premissas!$B$52)</f>
        <v>-0</v>
      </c>
      <c r="Q28" s="13" t="n">
        <f aca="false">-IF(AND(DAY(B28+Premissas!$B$15)=Premissas!$B$16,B28+Premissas!$B$15&gt;=DATE(YEAR(Premissas!$B$11),MONTH(Premissas!$B$11)+1,Premissas!$B$16)),Premissas!$B$43,0)-IF(OR(E28&lt;0,F28&lt;0,IF(AND(DAY(B28+Premissas!$B$15)=Premissas!$B$16,B28+Premissas!$B$15&gt;=DATE(YEAR(Premissas!$B$11),MONTH(Premissas!$B$11)+1,Premissas!$B$16)),Premissas!$B$43,0)&gt;0),Premissas!$B$67*Premissas!$B$68,0)</f>
        <v>-0</v>
      </c>
      <c r="R28" s="13" t="n">
        <f aca="false">E28+F28+SUM(I28:Q28)</f>
        <v>-6.455984507</v>
      </c>
      <c r="S28" s="13" t="n">
        <f aca="false">S27+R28</f>
        <v>835.942132389</v>
      </c>
      <c r="T28" s="16" t="n">
        <f aca="false">IF(AND($A28&gt;$B$100,S28&gt;=0),1,0)</f>
        <v>1</v>
      </c>
      <c r="U28" s="13" t="n">
        <f aca="false">S28-SUM($E$5:E28)-(1+Premissas!$B$17)*SUM($C$5:C28)</f>
        <v>39.1321323889998</v>
      </c>
      <c r="V28" s="13" t="n">
        <f aca="false">(G28+H28)*Premissas!$B$21</f>
        <v>0</v>
      </c>
      <c r="W28" s="16" t="n">
        <f aca="false">IF(V28&gt;0,DATE(YEAR(B28),MONTH(B28)+1,Premissas!$B$16)-Premissas!$B$11+1-Premissas!$B$15,0)</f>
        <v>0</v>
      </c>
      <c r="X28" s="13" t="n">
        <f aca="false">X27-Y27+C28*(1+Premissas!$B$17)</f>
        <v>56.915</v>
      </c>
      <c r="Y28" s="13" t="n">
        <f aca="false">IF(OR(X28&gt;=Premissas!$B$13,B28=DATE(YEAR(B28),MONTH(B28)+1,0)),X28,0)</f>
        <v>0</v>
      </c>
      <c r="Z28" s="13" t="n">
        <f aca="false">Z27-AA27+C28/Premissas!$B$18*Premissas!$B$20</f>
        <v>9</v>
      </c>
      <c r="AA28" s="13" t="n">
        <f aca="false">IF(OR(Z28&gt;=Premissas!$B$14,B28=DATE(YEAR(B28),MONTH(B28)+1,0)),Z28,0)</f>
        <v>0</v>
      </c>
      <c r="AB28" s="16" t="n">
        <f aca="false">IF(AA28&gt;0,IF(DAY(B28)&lt;=Premissas!$B$12,DATE(YEAR(B28),MONTH(B28),Premissas!$B$16),DATE(YEAR(B28),MONTH(B28)+1,Premissas!$B$16))-Premissas!$B$11+1-Premissas!$B$15,0)</f>
        <v>0</v>
      </c>
    </row>
    <row r="29" customFormat="false" ht="15" hidden="false" customHeight="true" outlineLevel="0" collapsed="false">
      <c r="A29" s="16" t="n">
        <v>25</v>
      </c>
      <c r="B29" s="31" t="n">
        <f aca="false">Premissas!$B$11+A29-1</f>
        <v>46342</v>
      </c>
      <c r="C29" s="13" t="n">
        <f aca="false">IF(A29&lt;=Premissas!$B$7,Premissas!$B$6/Premissas!$B$7,IF(A29&lt;=Premissas!$B$7+Premissas!$B$8,0,IF(A29&lt;=Premissas!$B$7+Premissas!$B$8+Premissas!$B$10,Premissas!$B$9/Premissas!$B$10,0)))</f>
        <v>0</v>
      </c>
      <c r="D29" s="16" t="n">
        <f aca="false">IF(Y29&gt;0,IF(DAY(B29)&lt;=Premissas!$B$12,DATE(YEAR(B29),MONTH(B29),Premissas!$B$16),DATE(YEAR(B29),MONTH(B29)+1,Premissas!$B$16))-Premissas!$B$11+1-Premissas!$B$15,0)</f>
        <v>0</v>
      </c>
      <c r="E29" s="13" t="n">
        <f aca="false">-SUMIF($D$5:$D$94,A29,$Y$5:$Y$94)</f>
        <v>-0</v>
      </c>
      <c r="F29" s="13" t="n">
        <f aca="false">-SUMIF($W$5:$W$94,A29,$V$5:$V$94)-SUMIF($AB$5:$AB$94,A29,$AA$5:$AA$94)</f>
        <v>-0</v>
      </c>
      <c r="G29" s="30" t="n">
        <f aca="false">C29/Premissas!$B$18*Premissas!$B$19*Premissas!$B$23</f>
        <v>0</v>
      </c>
      <c r="H29" s="30" t="n">
        <f aca="false">C29/Premissas!$B$18*Premissas!$B$19*Premissas!$B$24</f>
        <v>0</v>
      </c>
      <c r="I29" s="13" t="n">
        <f aca="false">-IF($A29-(Premissas!$B$60)&gt;=1,INDEX($G$5:$G$94,$A29-(Premissas!$B$60)),0)*(Premissas!$B$59*Unitário!$B$22+(Premissas!$B$61*Unitário!$B$24+Premissas!$B$63*Unitário!$B$25))</f>
        <v>-0</v>
      </c>
      <c r="J29" s="13" t="n">
        <f aca="false">IF($A29-(Premissas!$B$54)&gt;=1,INDEX($G$5:$G$94,$A29-(Premissas!$B$54)),0)*Premissas!$B$26*((Premissas!$B$59*Unitário!$B$22+(Premissas!$B$61*Unitário!$B$24+Premissas!$B$63*Unitário!$B$25))-Premissas!$B$39)</f>
        <v>0</v>
      </c>
      <c r="K29" s="13" t="n">
        <f aca="false">IF($A29-(Premissas!$B$54+Premissas!$B$57)&gt;=1,INDEX($G$5:$G$94,$A29-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6.336039143</v>
      </c>
      <c r="L29" s="13" t="n">
        <f aca="false">IF($A29-(Premissas!$B$54+Premissas!$B$55)&gt;=1,INDEX($G$5:$G$94,$A29-(Premissas!$B$54+Premissas!$B$55)),0)*Unitário!$B$21*(Premissas!$B$51-(1-Premissas!$B$61)*Unitário!$B$24-(1-Premissas!$B$63)*Unitário!$B$25-(1-Premissas!$B$59)*Unitário!$B$22)</f>
        <v>0</v>
      </c>
      <c r="M29" s="13" t="n">
        <f aca="false">IF($A29-(Premissas!$B$56)&gt;=1,INDEX($H$5:$H$94,$A29-(Premissas!$B$56)),0)*(Premissas!$B$52-Unitário!$B$27)</f>
        <v>0</v>
      </c>
      <c r="N29" s="13" t="n">
        <f aca="false">-IF($A29-(Premissas!$B$60)&gt;=1,INDEX($H$5:$H$94,$A29-(Premissas!$B$60)),0)*(Premissas!$B$59*Unitário!$B$22+Premissas!$B$31)</f>
        <v>-0</v>
      </c>
      <c r="O29" s="13" t="n">
        <f aca="false">IF($A29-(Premissas!$B$54+Premissas!$B$57)&gt;=1,INDEX($H$5:$H$94,$A29-(Premissas!$B$54+Premissas!$B$57)),0)*Premissas!$B$27*(-Premissas!$B$52-Premissas!$B$41+Unitário!$B$27+(1-Premissas!$B$62)*Premissas!$B$31+Premissas!$B$59*Unitário!$B$22)</f>
        <v>-12.79202365</v>
      </c>
      <c r="P29" s="13" t="n">
        <f aca="false">-Premissas!$B$42*(IF($A29-(Premissas!$B$54+Premissas!$B$55)&gt;=1,INDEX($G$5:$G$94,$A29-(Premissas!$B$54+Premissas!$B$55)),0)*Unitário!$B$21*Premissas!$B$51+IF($A29-(Premissas!$B$56)&gt;=1,INDEX($H$5:$H$94,$A29-(Premissas!$B$56)),0)*(1-Premissas!$B$27)*Premissas!$B$52)</f>
        <v>-0</v>
      </c>
      <c r="Q29" s="13" t="n">
        <f aca="false">-IF(AND(DAY(B29+Premissas!$B$15)=Premissas!$B$16,B29+Premissas!$B$15&gt;=DATE(YEAR(Premissas!$B$11),MONTH(Premissas!$B$11)+1,Premissas!$B$16)),Premissas!$B$43,0)-IF(OR(E29&lt;0,F29&lt;0,IF(AND(DAY(B29+Premissas!$B$15)=Premissas!$B$16,B29+Premissas!$B$15&gt;=DATE(YEAR(Premissas!$B$11),MONTH(Premissas!$B$11)+1,Premissas!$B$16)),Premissas!$B$43,0)&gt;0),Premissas!$B$67*Premissas!$B$68,0)</f>
        <v>-0</v>
      </c>
      <c r="R29" s="13" t="n">
        <f aca="false">E29+F29+SUM(I29:Q29)</f>
        <v>-6.455984507</v>
      </c>
      <c r="S29" s="13" t="n">
        <f aca="false">S28+R29</f>
        <v>829.486147882</v>
      </c>
      <c r="T29" s="16" t="n">
        <f aca="false">IF(AND($A29&gt;$B$100,S29&gt;=0),1,0)</f>
        <v>1</v>
      </c>
      <c r="U29" s="13" t="n">
        <f aca="false">S29-SUM($E$5:E29)-(1+Premissas!$B$17)*SUM($C$5:C29)</f>
        <v>32.6761478819998</v>
      </c>
      <c r="V29" s="13" t="n">
        <f aca="false">(G29+H29)*Premissas!$B$21</f>
        <v>0</v>
      </c>
      <c r="W29" s="16" t="n">
        <f aca="false">IF(V29&gt;0,DATE(YEAR(B29),MONTH(B29)+1,Premissas!$B$16)-Premissas!$B$11+1-Premissas!$B$15,0)</f>
        <v>0</v>
      </c>
      <c r="X29" s="13" t="n">
        <f aca="false">X28-Y28+C29*(1+Premissas!$B$17)</f>
        <v>56.915</v>
      </c>
      <c r="Y29" s="13" t="n">
        <f aca="false">IF(OR(X29&gt;=Premissas!$B$13,B29=DATE(YEAR(B29),MONTH(B29)+1,0)),X29,0)</f>
        <v>0</v>
      </c>
      <c r="Z29" s="13" t="n">
        <f aca="false">Z28-AA28+C29/Premissas!$B$18*Premissas!$B$20</f>
        <v>9</v>
      </c>
      <c r="AA29" s="13" t="n">
        <f aca="false">IF(OR(Z29&gt;=Premissas!$B$14,B29=DATE(YEAR(B29),MONTH(B29)+1,0)),Z29,0)</f>
        <v>0</v>
      </c>
      <c r="AB29" s="16" t="n">
        <f aca="false">IF(AA29&gt;0,IF(DAY(B29)&lt;=Premissas!$B$12,DATE(YEAR(B29),MONTH(B29),Premissas!$B$16),DATE(YEAR(B29),MONTH(B29)+1,Premissas!$B$16))-Premissas!$B$11+1-Premissas!$B$15,0)</f>
        <v>0</v>
      </c>
    </row>
    <row r="30" customFormat="false" ht="15" hidden="false" customHeight="true" outlineLevel="0" collapsed="false">
      <c r="A30" s="16" t="n">
        <v>26</v>
      </c>
      <c r="B30" s="31" t="n">
        <f aca="false">Premissas!$B$11+A30-1</f>
        <v>46343</v>
      </c>
      <c r="C30" s="13" t="n">
        <f aca="false">IF(A30&lt;=Premissas!$B$7,Premissas!$B$6/Premissas!$B$7,IF(A30&lt;=Premissas!$B$7+Premissas!$B$8,0,IF(A30&lt;=Premissas!$B$7+Premissas!$B$8+Premissas!$B$10,Premissas!$B$9/Premissas!$B$10,0)))</f>
        <v>0</v>
      </c>
      <c r="D30" s="16" t="n">
        <f aca="false">IF(Y30&gt;0,IF(DAY(B30)&lt;=Premissas!$B$12,DATE(YEAR(B30),MONTH(B30),Premissas!$B$16),DATE(YEAR(B30),MONTH(B30)+1,Premissas!$B$16))-Premissas!$B$11+1-Premissas!$B$15,0)</f>
        <v>0</v>
      </c>
      <c r="E30" s="13" t="n">
        <f aca="false">-SUMIF($D$5:$D$94,A30,$Y$5:$Y$94)</f>
        <v>-0</v>
      </c>
      <c r="F30" s="13" t="n">
        <f aca="false">-SUMIF($W$5:$W$94,A30,$V$5:$V$94)-SUMIF($AB$5:$AB$94,A30,$AA$5:$AA$94)</f>
        <v>-0</v>
      </c>
      <c r="G30" s="30" t="n">
        <f aca="false">C30/Premissas!$B$18*Premissas!$B$19*Premissas!$B$23</f>
        <v>0</v>
      </c>
      <c r="H30" s="30" t="n">
        <f aca="false">C30/Premissas!$B$18*Premissas!$B$19*Premissas!$B$24</f>
        <v>0</v>
      </c>
      <c r="I30" s="13" t="n">
        <f aca="false">-IF($A30-(Premissas!$B$60)&gt;=1,INDEX($G$5:$G$94,$A30-(Premissas!$B$60)),0)*(Premissas!$B$59*Unitário!$B$22+(Premissas!$B$61*Unitário!$B$24+Premissas!$B$63*Unitário!$B$25))</f>
        <v>-0</v>
      </c>
      <c r="J30" s="13" t="n">
        <f aca="false">IF($A30-(Premissas!$B$54)&gt;=1,INDEX($G$5:$G$94,$A30-(Premissas!$B$54)),0)*Premissas!$B$26*((Premissas!$B$59*Unitário!$B$22+(Premissas!$B$61*Unitário!$B$24+Premissas!$B$63*Unitário!$B$25))-Premissas!$B$39)</f>
        <v>0</v>
      </c>
      <c r="K30" s="13" t="n">
        <f aca="false">IF($A30-(Premissas!$B$54+Premissas!$B$57)&gt;=1,INDEX($G$5:$G$94,$A30-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30" s="13" t="n">
        <f aca="false">IF($A30-(Premissas!$B$54+Premissas!$B$55)&gt;=1,INDEX($G$5:$G$94,$A30-(Premissas!$B$54+Premissas!$B$55)),0)*Unitário!$B$21*(Premissas!$B$51-(1-Premissas!$B$61)*Unitário!$B$24-(1-Premissas!$B$63)*Unitário!$B$25-(1-Premissas!$B$59)*Unitário!$B$22)</f>
        <v>226.4157</v>
      </c>
      <c r="M30" s="13" t="n">
        <f aca="false">IF($A30-(Premissas!$B$56)&gt;=1,INDEX($H$5:$H$94,$A30-(Premissas!$B$56)),0)*(Premissas!$B$52-Unitário!$B$27)</f>
        <v>0</v>
      </c>
      <c r="N30" s="13" t="n">
        <f aca="false">-IF($A30-(Premissas!$B$60)&gt;=1,INDEX($H$5:$H$94,$A30-(Premissas!$B$60)),0)*(Premissas!$B$59*Unitário!$B$22+Premissas!$B$31)</f>
        <v>-0</v>
      </c>
      <c r="O30" s="13" t="n">
        <f aca="false">IF($A30-(Premissas!$B$54+Premissas!$B$57)&gt;=1,INDEX($H$5:$H$94,$A30-(Premissas!$B$54+Premissas!$B$57)),0)*Premissas!$B$27*(-Premissas!$B$52-Premissas!$B$41+Unitário!$B$27+(1-Premissas!$B$62)*Premissas!$B$31+Premissas!$B$59*Unitário!$B$22)</f>
        <v>-0</v>
      </c>
      <c r="P30" s="13" t="n">
        <f aca="false">-Premissas!$B$42*(IF($A30-(Premissas!$B$54+Premissas!$B$55)&gt;=1,INDEX($G$5:$G$94,$A30-(Premissas!$B$54+Premissas!$B$55)),0)*Unitário!$B$21*Premissas!$B$51+IF($A30-(Premissas!$B$56)&gt;=1,INDEX($H$5:$H$94,$A30-(Premissas!$B$56)),0)*(1-Premissas!$B$27)*Premissas!$B$52)</f>
        <v>-0</v>
      </c>
      <c r="Q30" s="13" t="n">
        <f aca="false">-IF(AND(DAY(B30+Premissas!$B$15)=Premissas!$B$16,B30+Premissas!$B$15&gt;=DATE(YEAR(Premissas!$B$11),MONTH(Premissas!$B$11)+1,Premissas!$B$16)),Premissas!$B$43,0)-IF(OR(E30&lt;0,F30&lt;0,IF(AND(DAY(B30+Premissas!$B$15)=Premissas!$B$16,B30+Premissas!$B$15&gt;=DATE(YEAR(Premissas!$B$11),MONTH(Premissas!$B$11)+1,Premissas!$B$16)),Premissas!$B$43,0)&gt;0),Premissas!$B$67*Premissas!$B$68,0)</f>
        <v>-0</v>
      </c>
      <c r="R30" s="13" t="n">
        <f aca="false">E30+F30+SUM(I30:Q30)</f>
        <v>226.4157</v>
      </c>
      <c r="S30" s="13" t="n">
        <f aca="false">S29+R30</f>
        <v>1055.901847882</v>
      </c>
      <c r="T30" s="16" t="n">
        <f aca="false">IF(AND($A30&gt;$B$100,S30&gt;=0),1,0)</f>
        <v>1</v>
      </c>
      <c r="U30" s="13" t="n">
        <f aca="false">S30-SUM($E$5:E30)-(1+Premissas!$B$17)*SUM($C$5:C30)</f>
        <v>259.091847882</v>
      </c>
      <c r="V30" s="13" t="n">
        <f aca="false">(G30+H30)*Premissas!$B$21</f>
        <v>0</v>
      </c>
      <c r="W30" s="16" t="n">
        <f aca="false">IF(V30&gt;0,DATE(YEAR(B30),MONTH(B30)+1,Premissas!$B$16)-Premissas!$B$11+1-Premissas!$B$15,0)</f>
        <v>0</v>
      </c>
      <c r="X30" s="13" t="n">
        <f aca="false">X29-Y29+C30*(1+Premissas!$B$17)</f>
        <v>56.915</v>
      </c>
      <c r="Y30" s="13" t="n">
        <f aca="false">IF(OR(X30&gt;=Premissas!$B$13,B30=DATE(YEAR(B30),MONTH(B30)+1,0)),X30,0)</f>
        <v>0</v>
      </c>
      <c r="Z30" s="13" t="n">
        <f aca="false">Z29-AA29+C30/Premissas!$B$18*Premissas!$B$20</f>
        <v>9</v>
      </c>
      <c r="AA30" s="13" t="n">
        <f aca="false">IF(OR(Z30&gt;=Premissas!$B$14,B30=DATE(YEAR(B30),MONTH(B30)+1,0)),Z30,0)</f>
        <v>0</v>
      </c>
      <c r="AB30" s="16" t="n">
        <f aca="false">IF(AA30&gt;0,IF(DAY(B30)&lt;=Premissas!$B$12,DATE(YEAR(B30),MONTH(B30),Premissas!$B$16),DATE(YEAR(B30),MONTH(B30)+1,Premissas!$B$16))-Premissas!$B$11+1-Premissas!$B$15,0)</f>
        <v>0</v>
      </c>
    </row>
    <row r="31" customFormat="false" ht="15" hidden="false" customHeight="true" outlineLevel="0" collapsed="false">
      <c r="A31" s="16" t="n">
        <v>27</v>
      </c>
      <c r="B31" s="31" t="n">
        <f aca="false">Premissas!$B$11+A31-1</f>
        <v>46344</v>
      </c>
      <c r="C31" s="13" t="n">
        <f aca="false">IF(A31&lt;=Premissas!$B$7,Premissas!$B$6/Premissas!$B$7,IF(A31&lt;=Premissas!$B$7+Premissas!$B$8,0,IF(A31&lt;=Premissas!$B$7+Premissas!$B$8+Premissas!$B$10,Premissas!$B$9/Premissas!$B$10,0)))</f>
        <v>0</v>
      </c>
      <c r="D31" s="16" t="n">
        <f aca="false">IF(Y31&gt;0,IF(DAY(B31)&lt;=Premissas!$B$12,DATE(YEAR(B31),MONTH(B31),Premissas!$B$16),DATE(YEAR(B31),MONTH(B31)+1,Premissas!$B$16))-Premissas!$B$11+1-Premissas!$B$15,0)</f>
        <v>0</v>
      </c>
      <c r="E31" s="13" t="n">
        <f aca="false">-SUMIF($D$5:$D$94,A31,$Y$5:$Y$94)</f>
        <v>-0</v>
      </c>
      <c r="F31" s="13" t="n">
        <f aca="false">-SUMIF($W$5:$W$94,A31,$V$5:$V$94)-SUMIF($AB$5:$AB$94,A31,$AA$5:$AA$94)</f>
        <v>-0</v>
      </c>
      <c r="G31" s="30" t="n">
        <f aca="false">C31/Premissas!$B$18*Premissas!$B$19*Premissas!$B$23</f>
        <v>0</v>
      </c>
      <c r="H31" s="30" t="n">
        <f aca="false">C31/Premissas!$B$18*Premissas!$B$19*Premissas!$B$24</f>
        <v>0</v>
      </c>
      <c r="I31" s="13" t="n">
        <f aca="false">-IF($A31-(Premissas!$B$60)&gt;=1,INDEX($G$5:$G$94,$A31-(Premissas!$B$60)),0)*(Premissas!$B$59*Unitário!$B$22+(Premissas!$B$61*Unitário!$B$24+Premissas!$B$63*Unitário!$B$25))</f>
        <v>-0</v>
      </c>
      <c r="J31" s="13" t="n">
        <f aca="false">IF($A31-(Premissas!$B$54)&gt;=1,INDEX($G$5:$G$94,$A31-(Premissas!$B$54)),0)*Premissas!$B$26*((Premissas!$B$59*Unitário!$B$22+(Premissas!$B$61*Unitário!$B$24+Premissas!$B$63*Unitário!$B$25))-Premissas!$B$39)</f>
        <v>0</v>
      </c>
      <c r="K31" s="13" t="n">
        <f aca="false">IF($A31-(Premissas!$B$54+Premissas!$B$57)&gt;=1,INDEX($G$5:$G$94,$A31-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31" s="13" t="n">
        <f aca="false">IF($A31-(Premissas!$B$54+Premissas!$B$55)&gt;=1,INDEX($G$5:$G$94,$A31-(Premissas!$B$54+Premissas!$B$55)),0)*Unitário!$B$21*(Premissas!$B$51-(1-Premissas!$B$61)*Unitário!$B$24-(1-Premissas!$B$63)*Unitário!$B$25-(1-Premissas!$B$59)*Unitário!$B$22)</f>
        <v>226.4157</v>
      </c>
      <c r="M31" s="13" t="n">
        <f aca="false">IF($A31-(Premissas!$B$56)&gt;=1,INDEX($H$5:$H$94,$A31-(Premissas!$B$56)),0)*(Premissas!$B$52-Unitário!$B$27)</f>
        <v>0</v>
      </c>
      <c r="N31" s="13" t="n">
        <f aca="false">-IF($A31-(Premissas!$B$60)&gt;=1,INDEX($H$5:$H$94,$A31-(Premissas!$B$60)),0)*(Premissas!$B$59*Unitário!$B$22+Premissas!$B$31)</f>
        <v>-0</v>
      </c>
      <c r="O31" s="13" t="n">
        <f aca="false">IF($A31-(Premissas!$B$54+Premissas!$B$57)&gt;=1,INDEX($H$5:$H$94,$A31-(Premissas!$B$54+Premissas!$B$57)),0)*Premissas!$B$27*(-Premissas!$B$52-Premissas!$B$41+Unitário!$B$27+(1-Premissas!$B$62)*Premissas!$B$31+Premissas!$B$59*Unitário!$B$22)</f>
        <v>-0</v>
      </c>
      <c r="P31" s="13" t="n">
        <f aca="false">-Premissas!$B$42*(IF($A31-(Premissas!$B$54+Premissas!$B$55)&gt;=1,INDEX($G$5:$G$94,$A31-(Premissas!$B$54+Premissas!$B$55)),0)*Unitário!$B$21*Premissas!$B$51+IF($A31-(Premissas!$B$56)&gt;=1,INDEX($H$5:$H$94,$A31-(Premissas!$B$56)),0)*(1-Premissas!$B$27)*Premissas!$B$52)</f>
        <v>-0</v>
      </c>
      <c r="Q31" s="13" t="n">
        <f aca="false">-IF(AND(DAY(B31+Premissas!$B$15)=Premissas!$B$16,B31+Premissas!$B$15&gt;=DATE(YEAR(Premissas!$B$11),MONTH(Premissas!$B$11)+1,Premissas!$B$16)),Premissas!$B$43,0)-IF(OR(E31&lt;0,F31&lt;0,IF(AND(DAY(B31+Premissas!$B$15)=Premissas!$B$16,B31+Premissas!$B$15&gt;=DATE(YEAR(Premissas!$B$11),MONTH(Premissas!$B$11)+1,Premissas!$B$16)),Premissas!$B$43,0)&gt;0),Premissas!$B$67*Premissas!$B$68,0)</f>
        <v>-0</v>
      </c>
      <c r="R31" s="13" t="n">
        <f aca="false">E31+F31+SUM(I31:Q31)</f>
        <v>226.4157</v>
      </c>
      <c r="S31" s="13" t="n">
        <f aca="false">S30+R31</f>
        <v>1282.317547882</v>
      </c>
      <c r="T31" s="16" t="n">
        <f aca="false">IF(AND($A31&gt;$B$100,S31&gt;=0),1,0)</f>
        <v>1</v>
      </c>
      <c r="U31" s="13" t="n">
        <f aca="false">S31-SUM($E$5:E31)-(1+Premissas!$B$17)*SUM($C$5:C31)</f>
        <v>485.507547882</v>
      </c>
      <c r="V31" s="13" t="n">
        <f aca="false">(G31+H31)*Premissas!$B$21</f>
        <v>0</v>
      </c>
      <c r="W31" s="16" t="n">
        <f aca="false">IF(V31&gt;0,DATE(YEAR(B31),MONTH(B31)+1,Premissas!$B$16)-Premissas!$B$11+1-Premissas!$B$15,0)</f>
        <v>0</v>
      </c>
      <c r="X31" s="13" t="n">
        <f aca="false">X30-Y30+C31*(1+Premissas!$B$17)</f>
        <v>56.915</v>
      </c>
      <c r="Y31" s="13" t="n">
        <f aca="false">IF(OR(X31&gt;=Premissas!$B$13,B31=DATE(YEAR(B31),MONTH(B31)+1,0)),X31,0)</f>
        <v>0</v>
      </c>
      <c r="Z31" s="13" t="n">
        <f aca="false">Z30-AA30+C31/Premissas!$B$18*Premissas!$B$20</f>
        <v>9</v>
      </c>
      <c r="AA31" s="13" t="n">
        <f aca="false">IF(OR(Z31&gt;=Premissas!$B$14,B31=DATE(YEAR(B31),MONTH(B31)+1,0)),Z31,0)</f>
        <v>0</v>
      </c>
      <c r="AB31" s="16" t="n">
        <f aca="false">IF(AA31&gt;0,IF(DAY(B31)&lt;=Premissas!$B$12,DATE(YEAR(B31),MONTH(B31),Premissas!$B$16),DATE(YEAR(B31),MONTH(B31)+1,Premissas!$B$16))-Premissas!$B$11+1-Premissas!$B$15,0)</f>
        <v>0</v>
      </c>
    </row>
    <row r="32" customFormat="false" ht="15" hidden="false" customHeight="true" outlineLevel="0" collapsed="false">
      <c r="A32" s="16" t="n">
        <v>28</v>
      </c>
      <c r="B32" s="31" t="n">
        <f aca="false">Premissas!$B$11+A32-1</f>
        <v>46345</v>
      </c>
      <c r="C32" s="13" t="n">
        <f aca="false">IF(A32&lt;=Premissas!$B$7,Premissas!$B$6/Premissas!$B$7,IF(A32&lt;=Premissas!$B$7+Premissas!$B$8,0,IF(A32&lt;=Premissas!$B$7+Premissas!$B$8+Premissas!$B$10,Premissas!$B$9/Premissas!$B$10,0)))</f>
        <v>0</v>
      </c>
      <c r="D32" s="16" t="n">
        <f aca="false">IF(Y32&gt;0,IF(DAY(B32)&lt;=Premissas!$B$12,DATE(YEAR(B32),MONTH(B32),Premissas!$B$16),DATE(YEAR(B32),MONTH(B32)+1,Premissas!$B$16))-Premissas!$B$11+1-Premissas!$B$15,0)</f>
        <v>0</v>
      </c>
      <c r="E32" s="13" t="n">
        <f aca="false">-SUMIF($D$5:$D$94,A32,$Y$5:$Y$94)</f>
        <v>-0</v>
      </c>
      <c r="F32" s="13" t="n">
        <f aca="false">-SUMIF($W$5:$W$94,A32,$V$5:$V$94)-SUMIF($AB$5:$AB$94,A32,$AA$5:$AA$94)</f>
        <v>-0</v>
      </c>
      <c r="G32" s="30" t="n">
        <f aca="false">C32/Premissas!$B$18*Premissas!$B$19*Premissas!$B$23</f>
        <v>0</v>
      </c>
      <c r="H32" s="30" t="n">
        <f aca="false">C32/Premissas!$B$18*Premissas!$B$19*Premissas!$B$24</f>
        <v>0</v>
      </c>
      <c r="I32" s="13" t="n">
        <f aca="false">-IF($A32-(Premissas!$B$60)&gt;=1,INDEX($G$5:$G$94,$A32-(Premissas!$B$60)),0)*(Premissas!$B$59*Unitário!$B$22+(Premissas!$B$61*Unitário!$B$24+Premissas!$B$63*Unitário!$B$25))</f>
        <v>-0</v>
      </c>
      <c r="J32" s="13" t="n">
        <f aca="false">IF($A32-(Premissas!$B$54)&gt;=1,INDEX($G$5:$G$94,$A32-(Premissas!$B$54)),0)*Premissas!$B$26*((Premissas!$B$59*Unitário!$B$22+(Premissas!$B$61*Unitário!$B$24+Premissas!$B$63*Unitário!$B$25))-Premissas!$B$39)</f>
        <v>0</v>
      </c>
      <c r="K32" s="13" t="n">
        <f aca="false">IF($A32-(Premissas!$B$54+Premissas!$B$57)&gt;=1,INDEX($G$5:$G$94,$A32-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32" s="13" t="n">
        <f aca="false">IF($A32-(Premissas!$B$54+Premissas!$B$55)&gt;=1,INDEX($G$5:$G$94,$A32-(Premissas!$B$54+Premissas!$B$55)),0)*Unitário!$B$21*(Premissas!$B$51-(1-Premissas!$B$61)*Unitário!$B$24-(1-Premissas!$B$63)*Unitário!$B$25-(1-Premissas!$B$59)*Unitário!$B$22)</f>
        <v>226.4157</v>
      </c>
      <c r="M32" s="13" t="n">
        <f aca="false">IF($A32-(Premissas!$B$56)&gt;=1,INDEX($H$5:$H$94,$A32-(Premissas!$B$56)),0)*(Premissas!$B$52-Unitário!$B$27)</f>
        <v>0</v>
      </c>
      <c r="N32" s="13" t="n">
        <f aca="false">-IF($A32-(Premissas!$B$60)&gt;=1,INDEX($H$5:$H$94,$A32-(Premissas!$B$60)),0)*(Premissas!$B$59*Unitário!$B$22+Premissas!$B$31)</f>
        <v>-0</v>
      </c>
      <c r="O32" s="13" t="n">
        <f aca="false">IF($A32-(Premissas!$B$54+Premissas!$B$57)&gt;=1,INDEX($H$5:$H$94,$A32-(Premissas!$B$54+Premissas!$B$57)),0)*Premissas!$B$27*(-Premissas!$B$52-Premissas!$B$41+Unitário!$B$27+(1-Premissas!$B$62)*Premissas!$B$31+Premissas!$B$59*Unitário!$B$22)</f>
        <v>-0</v>
      </c>
      <c r="P32" s="13" t="n">
        <f aca="false">-Premissas!$B$42*(IF($A32-(Premissas!$B$54+Premissas!$B$55)&gt;=1,INDEX($G$5:$G$94,$A32-(Premissas!$B$54+Premissas!$B$55)),0)*Unitário!$B$21*Premissas!$B$51+IF($A32-(Premissas!$B$56)&gt;=1,INDEX($H$5:$H$94,$A32-(Premissas!$B$56)),0)*(1-Premissas!$B$27)*Premissas!$B$52)</f>
        <v>-0</v>
      </c>
      <c r="Q32" s="13" t="n">
        <f aca="false">-IF(AND(DAY(B32+Premissas!$B$15)=Premissas!$B$16,B32+Premissas!$B$15&gt;=DATE(YEAR(Premissas!$B$11),MONTH(Premissas!$B$11)+1,Premissas!$B$16)),Premissas!$B$43,0)-IF(OR(E32&lt;0,F32&lt;0,IF(AND(DAY(B32+Premissas!$B$15)=Premissas!$B$16,B32+Premissas!$B$15&gt;=DATE(YEAR(Premissas!$B$11),MONTH(Premissas!$B$11)+1,Premissas!$B$16)),Premissas!$B$43,0)&gt;0),Premissas!$B$67*Premissas!$B$68,0)</f>
        <v>-0</v>
      </c>
      <c r="R32" s="13" t="n">
        <f aca="false">E32+F32+SUM(I32:Q32)</f>
        <v>226.4157</v>
      </c>
      <c r="S32" s="13" t="n">
        <f aca="false">S31+R32</f>
        <v>1508.733247882</v>
      </c>
      <c r="T32" s="16" t="n">
        <f aca="false">IF(AND($A32&gt;$B$100,S32&gt;=0),1,0)</f>
        <v>1</v>
      </c>
      <c r="U32" s="13" t="n">
        <f aca="false">S32-SUM($E$5:E32)-(1+Premissas!$B$17)*SUM($C$5:C32)</f>
        <v>711.923247882</v>
      </c>
      <c r="V32" s="13" t="n">
        <f aca="false">(G32+H32)*Premissas!$B$21</f>
        <v>0</v>
      </c>
      <c r="W32" s="16" t="n">
        <f aca="false">IF(V32&gt;0,DATE(YEAR(B32),MONTH(B32)+1,Premissas!$B$16)-Premissas!$B$11+1-Premissas!$B$15,0)</f>
        <v>0</v>
      </c>
      <c r="X32" s="13" t="n">
        <f aca="false">X31-Y31+C32*(1+Premissas!$B$17)</f>
        <v>56.915</v>
      </c>
      <c r="Y32" s="13" t="n">
        <f aca="false">IF(OR(X32&gt;=Premissas!$B$13,B32=DATE(YEAR(B32),MONTH(B32)+1,0)),X32,0)</f>
        <v>0</v>
      </c>
      <c r="Z32" s="13" t="n">
        <f aca="false">Z31-AA31+C32/Premissas!$B$18*Premissas!$B$20</f>
        <v>9</v>
      </c>
      <c r="AA32" s="13" t="n">
        <f aca="false">IF(OR(Z32&gt;=Premissas!$B$14,B32=DATE(YEAR(B32),MONTH(B32)+1,0)),Z32,0)</f>
        <v>0</v>
      </c>
      <c r="AB32" s="16" t="n">
        <f aca="false">IF(AA32&gt;0,IF(DAY(B32)&lt;=Premissas!$B$12,DATE(YEAR(B32),MONTH(B32),Premissas!$B$16),DATE(YEAR(B32),MONTH(B32)+1,Premissas!$B$16))-Premissas!$B$11+1-Premissas!$B$15,0)</f>
        <v>0</v>
      </c>
    </row>
    <row r="33" customFormat="false" ht="15" hidden="false" customHeight="true" outlineLevel="0" collapsed="false">
      <c r="A33" s="16" t="n">
        <v>29</v>
      </c>
      <c r="B33" s="31" t="n">
        <f aca="false">Premissas!$B$11+A33-1</f>
        <v>46346</v>
      </c>
      <c r="C33" s="13" t="n">
        <f aca="false">IF(A33&lt;=Premissas!$B$7,Premissas!$B$6/Premissas!$B$7,IF(A33&lt;=Premissas!$B$7+Premissas!$B$8,0,IF(A33&lt;=Premissas!$B$7+Premissas!$B$8+Premissas!$B$10,Premissas!$B$9/Premissas!$B$10,0)))</f>
        <v>0</v>
      </c>
      <c r="D33" s="16" t="n">
        <f aca="false">IF(Y33&gt;0,IF(DAY(B33)&lt;=Premissas!$B$12,DATE(YEAR(B33),MONTH(B33),Premissas!$B$16),DATE(YEAR(B33),MONTH(B33)+1,Premissas!$B$16))-Premissas!$B$11+1-Premissas!$B$15,0)</f>
        <v>0</v>
      </c>
      <c r="E33" s="13" t="n">
        <f aca="false">-SUMIF($D$5:$D$94,A33,$Y$5:$Y$94)</f>
        <v>-0</v>
      </c>
      <c r="F33" s="13" t="n">
        <f aca="false">-SUMIF($W$5:$W$94,A33,$V$5:$V$94)-SUMIF($AB$5:$AB$94,A33,$AA$5:$AA$94)</f>
        <v>-0</v>
      </c>
      <c r="G33" s="30" t="n">
        <f aca="false">C33/Premissas!$B$18*Premissas!$B$19*Premissas!$B$23</f>
        <v>0</v>
      </c>
      <c r="H33" s="30" t="n">
        <f aca="false">C33/Premissas!$B$18*Premissas!$B$19*Premissas!$B$24</f>
        <v>0</v>
      </c>
      <c r="I33" s="13" t="n">
        <f aca="false">-IF($A33-(Premissas!$B$60)&gt;=1,INDEX($G$5:$G$94,$A33-(Premissas!$B$60)),0)*(Premissas!$B$59*Unitário!$B$22+(Premissas!$B$61*Unitário!$B$24+Premissas!$B$63*Unitário!$B$25))</f>
        <v>-0</v>
      </c>
      <c r="J33" s="13" t="n">
        <f aca="false">IF($A33-(Premissas!$B$54)&gt;=1,INDEX($G$5:$G$94,$A33-(Premissas!$B$54)),0)*Premissas!$B$26*((Premissas!$B$59*Unitário!$B$22+(Premissas!$B$61*Unitário!$B$24+Premissas!$B$63*Unitário!$B$25))-Premissas!$B$39)</f>
        <v>0</v>
      </c>
      <c r="K33" s="13" t="n">
        <f aca="false">IF($A33-(Premissas!$B$54+Premissas!$B$57)&gt;=1,INDEX($G$5:$G$94,$A33-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33" s="13" t="n">
        <f aca="false">IF($A33-(Premissas!$B$54+Premissas!$B$55)&gt;=1,INDEX($G$5:$G$94,$A33-(Premissas!$B$54+Premissas!$B$55)),0)*Unitário!$B$21*(Premissas!$B$51-(1-Premissas!$B$61)*Unitário!$B$24-(1-Premissas!$B$63)*Unitário!$B$25-(1-Premissas!$B$59)*Unitário!$B$22)</f>
        <v>226.4157</v>
      </c>
      <c r="M33" s="13" t="n">
        <f aca="false">IF($A33-(Premissas!$B$56)&gt;=1,INDEX($H$5:$H$94,$A33-(Premissas!$B$56)),0)*(Premissas!$B$52-Unitário!$B$27)</f>
        <v>0</v>
      </c>
      <c r="N33" s="13" t="n">
        <f aca="false">-IF($A33-(Premissas!$B$60)&gt;=1,INDEX($H$5:$H$94,$A33-(Premissas!$B$60)),0)*(Premissas!$B$59*Unitário!$B$22+Premissas!$B$31)</f>
        <v>-0</v>
      </c>
      <c r="O33" s="13" t="n">
        <f aca="false">IF($A33-(Premissas!$B$54+Premissas!$B$57)&gt;=1,INDEX($H$5:$H$94,$A33-(Premissas!$B$54+Premissas!$B$57)),0)*Premissas!$B$27*(-Premissas!$B$52-Premissas!$B$41+Unitário!$B$27+(1-Premissas!$B$62)*Premissas!$B$31+Premissas!$B$59*Unitário!$B$22)</f>
        <v>-0</v>
      </c>
      <c r="P33" s="13" t="n">
        <f aca="false">-Premissas!$B$42*(IF($A33-(Premissas!$B$54+Premissas!$B$55)&gt;=1,INDEX($G$5:$G$94,$A33-(Premissas!$B$54+Premissas!$B$55)),0)*Unitário!$B$21*Premissas!$B$51+IF($A33-(Premissas!$B$56)&gt;=1,INDEX($H$5:$H$94,$A33-(Premissas!$B$56)),0)*(1-Premissas!$B$27)*Premissas!$B$52)</f>
        <v>-0</v>
      </c>
      <c r="Q33" s="13" t="n">
        <f aca="false">-IF(AND(DAY(B33+Premissas!$B$15)=Premissas!$B$16,B33+Premissas!$B$15&gt;=DATE(YEAR(Premissas!$B$11),MONTH(Premissas!$B$11)+1,Premissas!$B$16)),Premissas!$B$43,0)-IF(OR(E33&lt;0,F33&lt;0,IF(AND(DAY(B33+Premissas!$B$15)=Premissas!$B$16,B33+Premissas!$B$15&gt;=DATE(YEAR(Premissas!$B$11),MONTH(Premissas!$B$11)+1,Premissas!$B$16)),Premissas!$B$43,0)&gt;0),Premissas!$B$67*Premissas!$B$68,0)</f>
        <v>-0</v>
      </c>
      <c r="R33" s="13" t="n">
        <f aca="false">E33+F33+SUM(I33:Q33)</f>
        <v>226.4157</v>
      </c>
      <c r="S33" s="13" t="n">
        <f aca="false">S32+R33</f>
        <v>1735.148947882</v>
      </c>
      <c r="T33" s="16" t="n">
        <f aca="false">IF(AND($A33&gt;$B$100,S33&gt;=0),1,0)</f>
        <v>1</v>
      </c>
      <c r="U33" s="13" t="n">
        <f aca="false">S33-SUM($E$5:E33)-(1+Premissas!$B$17)*SUM($C$5:C33)</f>
        <v>938.338947882</v>
      </c>
      <c r="V33" s="13" t="n">
        <f aca="false">(G33+H33)*Premissas!$B$21</f>
        <v>0</v>
      </c>
      <c r="W33" s="16" t="n">
        <f aca="false">IF(V33&gt;0,DATE(YEAR(B33),MONTH(B33)+1,Premissas!$B$16)-Premissas!$B$11+1-Premissas!$B$15,0)</f>
        <v>0</v>
      </c>
      <c r="X33" s="13" t="n">
        <f aca="false">X32-Y32+C33*(1+Premissas!$B$17)</f>
        <v>56.915</v>
      </c>
      <c r="Y33" s="13" t="n">
        <f aca="false">IF(OR(X33&gt;=Premissas!$B$13,B33=DATE(YEAR(B33),MONTH(B33)+1,0)),X33,0)</f>
        <v>0</v>
      </c>
      <c r="Z33" s="13" t="n">
        <f aca="false">Z32-AA32+C33/Premissas!$B$18*Premissas!$B$20</f>
        <v>9</v>
      </c>
      <c r="AA33" s="13" t="n">
        <f aca="false">IF(OR(Z33&gt;=Premissas!$B$14,B33=DATE(YEAR(B33),MONTH(B33)+1,0)),Z33,0)</f>
        <v>0</v>
      </c>
      <c r="AB33" s="16" t="n">
        <f aca="false">IF(AA33&gt;0,IF(DAY(B33)&lt;=Premissas!$B$12,DATE(YEAR(B33),MONTH(B33),Premissas!$B$16),DATE(YEAR(B33),MONTH(B33)+1,Premissas!$B$16))-Premissas!$B$11+1-Premissas!$B$15,0)</f>
        <v>0</v>
      </c>
    </row>
    <row r="34" customFormat="false" ht="15" hidden="false" customHeight="true" outlineLevel="0" collapsed="false">
      <c r="A34" s="16" t="n">
        <v>30</v>
      </c>
      <c r="B34" s="31" t="n">
        <f aca="false">Premissas!$B$11+A34-1</f>
        <v>46347</v>
      </c>
      <c r="C34" s="13" t="n">
        <f aca="false">IF(A34&lt;=Premissas!$B$7,Premissas!$B$6/Premissas!$B$7,IF(A34&lt;=Premissas!$B$7+Premissas!$B$8,0,IF(A34&lt;=Premissas!$B$7+Premissas!$B$8+Premissas!$B$10,Premissas!$B$9/Premissas!$B$10,0)))</f>
        <v>0</v>
      </c>
      <c r="D34" s="16" t="n">
        <f aca="false">IF(Y34&gt;0,IF(DAY(B34)&lt;=Premissas!$B$12,DATE(YEAR(B34),MONTH(B34),Premissas!$B$16),DATE(YEAR(B34),MONTH(B34)+1,Premissas!$B$16))-Premissas!$B$11+1-Premissas!$B$15,0)</f>
        <v>0</v>
      </c>
      <c r="E34" s="13" t="n">
        <f aca="false">-SUMIF($D$5:$D$94,A34,$Y$5:$Y$94)</f>
        <v>-0</v>
      </c>
      <c r="F34" s="13" t="n">
        <f aca="false">-SUMIF($W$5:$W$94,A34,$V$5:$V$94)-SUMIF($AB$5:$AB$94,A34,$AA$5:$AA$94)</f>
        <v>-0</v>
      </c>
      <c r="G34" s="30" t="n">
        <f aca="false">C34/Premissas!$B$18*Premissas!$B$19*Premissas!$B$23</f>
        <v>0</v>
      </c>
      <c r="H34" s="30" t="n">
        <f aca="false">C34/Premissas!$B$18*Premissas!$B$19*Premissas!$B$24</f>
        <v>0</v>
      </c>
      <c r="I34" s="13" t="n">
        <f aca="false">-IF($A34-(Premissas!$B$60)&gt;=1,INDEX($G$5:$G$94,$A34-(Premissas!$B$60)),0)*(Premissas!$B$59*Unitário!$B$22+(Premissas!$B$61*Unitário!$B$24+Premissas!$B$63*Unitário!$B$25))</f>
        <v>-0</v>
      </c>
      <c r="J34" s="13" t="n">
        <f aca="false">IF($A34-(Premissas!$B$54)&gt;=1,INDEX($G$5:$G$94,$A34-(Premissas!$B$54)),0)*Premissas!$B$26*((Premissas!$B$59*Unitário!$B$22+(Premissas!$B$61*Unitário!$B$24+Premissas!$B$63*Unitário!$B$25))-Premissas!$B$39)</f>
        <v>0</v>
      </c>
      <c r="K34" s="13" t="n">
        <f aca="false">IF($A34-(Premissas!$B$54+Premissas!$B$57)&gt;=1,INDEX($G$5:$G$94,$A34-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34" s="13" t="n">
        <f aca="false">IF($A34-(Premissas!$B$54+Premissas!$B$55)&gt;=1,INDEX($G$5:$G$94,$A34-(Premissas!$B$54+Premissas!$B$55)),0)*Unitário!$B$21*(Premissas!$B$51-(1-Premissas!$B$61)*Unitário!$B$24-(1-Premissas!$B$63)*Unitário!$B$25-(1-Premissas!$B$59)*Unitário!$B$22)</f>
        <v>226.4157</v>
      </c>
      <c r="M34" s="13" t="n">
        <f aca="false">IF($A34-(Premissas!$B$56)&gt;=1,INDEX($H$5:$H$94,$A34-(Premissas!$B$56)),0)*(Premissas!$B$52-Unitário!$B$27)</f>
        <v>0</v>
      </c>
      <c r="N34" s="13" t="n">
        <f aca="false">-IF($A34-(Premissas!$B$60)&gt;=1,INDEX($H$5:$H$94,$A34-(Premissas!$B$60)),0)*(Premissas!$B$59*Unitário!$B$22+Premissas!$B$31)</f>
        <v>-0</v>
      </c>
      <c r="O34" s="13" t="n">
        <f aca="false">IF($A34-(Premissas!$B$54+Premissas!$B$57)&gt;=1,INDEX($H$5:$H$94,$A34-(Premissas!$B$54+Premissas!$B$57)),0)*Premissas!$B$27*(-Premissas!$B$52-Premissas!$B$41+Unitário!$B$27+(1-Premissas!$B$62)*Premissas!$B$31+Premissas!$B$59*Unitário!$B$22)</f>
        <v>-0</v>
      </c>
      <c r="P34" s="13" t="n">
        <f aca="false">-Premissas!$B$42*(IF($A34-(Premissas!$B$54+Premissas!$B$55)&gt;=1,INDEX($G$5:$G$94,$A34-(Premissas!$B$54+Premissas!$B$55)),0)*Unitário!$B$21*Premissas!$B$51+IF($A34-(Premissas!$B$56)&gt;=1,INDEX($H$5:$H$94,$A34-(Premissas!$B$56)),0)*(1-Premissas!$B$27)*Premissas!$B$52)</f>
        <v>-0</v>
      </c>
      <c r="Q34" s="13" t="n">
        <f aca="false">-IF(AND(DAY(B34+Premissas!$B$15)=Premissas!$B$16,B34+Premissas!$B$15&gt;=DATE(YEAR(Premissas!$B$11),MONTH(Premissas!$B$11)+1,Premissas!$B$16)),Premissas!$B$43,0)-IF(OR(E34&lt;0,F34&lt;0,IF(AND(DAY(B34+Premissas!$B$15)=Premissas!$B$16,B34+Premissas!$B$15&gt;=DATE(YEAR(Premissas!$B$11),MONTH(Premissas!$B$11)+1,Premissas!$B$16)),Premissas!$B$43,0)&gt;0),Premissas!$B$67*Premissas!$B$68,0)</f>
        <v>-0</v>
      </c>
      <c r="R34" s="13" t="n">
        <f aca="false">E34+F34+SUM(I34:Q34)</f>
        <v>226.4157</v>
      </c>
      <c r="S34" s="13" t="n">
        <f aca="false">S33+R34</f>
        <v>1961.564647882</v>
      </c>
      <c r="T34" s="16" t="n">
        <f aca="false">IF(AND($A34&gt;$B$100,S34&gt;=0),1,0)</f>
        <v>1</v>
      </c>
      <c r="U34" s="13" t="n">
        <f aca="false">S34-SUM($E$5:E34)-(1+Premissas!$B$17)*SUM($C$5:C34)</f>
        <v>1164.754647882</v>
      </c>
      <c r="V34" s="13" t="n">
        <f aca="false">(G34+H34)*Premissas!$B$21</f>
        <v>0</v>
      </c>
      <c r="W34" s="16" t="n">
        <f aca="false">IF(V34&gt;0,DATE(YEAR(B34),MONTH(B34)+1,Premissas!$B$16)-Premissas!$B$11+1-Premissas!$B$15,0)</f>
        <v>0</v>
      </c>
      <c r="X34" s="13" t="n">
        <f aca="false">X33-Y33+C34*(1+Premissas!$B$17)</f>
        <v>56.915</v>
      </c>
      <c r="Y34" s="13" t="n">
        <f aca="false">IF(OR(X34&gt;=Premissas!$B$13,B34=DATE(YEAR(B34),MONTH(B34)+1,0)),X34,0)</f>
        <v>0</v>
      </c>
      <c r="Z34" s="13" t="n">
        <f aca="false">Z33-AA33+C34/Premissas!$B$18*Premissas!$B$20</f>
        <v>9</v>
      </c>
      <c r="AA34" s="13" t="n">
        <f aca="false">IF(OR(Z34&gt;=Premissas!$B$14,B34=DATE(YEAR(B34),MONTH(B34)+1,0)),Z34,0)</f>
        <v>0</v>
      </c>
      <c r="AB34" s="16" t="n">
        <f aca="false">IF(AA34&gt;0,IF(DAY(B34)&lt;=Premissas!$B$12,DATE(YEAR(B34),MONTH(B34),Premissas!$B$16),DATE(YEAR(B34),MONTH(B34)+1,Premissas!$B$16))-Premissas!$B$11+1-Premissas!$B$15,0)</f>
        <v>0</v>
      </c>
    </row>
    <row r="35" customFormat="false" ht="15" hidden="false" customHeight="true" outlineLevel="0" collapsed="false">
      <c r="A35" s="16" t="n">
        <v>31</v>
      </c>
      <c r="B35" s="31" t="n">
        <f aca="false">Premissas!$B$11+A35-1</f>
        <v>46348</v>
      </c>
      <c r="C35" s="13" t="n">
        <f aca="false">IF(A35&lt;=Premissas!$B$7,Premissas!$B$6/Premissas!$B$7,IF(A35&lt;=Premissas!$B$7+Premissas!$B$8,0,IF(A35&lt;=Premissas!$B$7+Premissas!$B$8+Premissas!$B$10,Premissas!$B$9/Premissas!$B$10,0)))</f>
        <v>0</v>
      </c>
      <c r="D35" s="16" t="n">
        <f aca="false">IF(Y35&gt;0,IF(DAY(B35)&lt;=Premissas!$B$12,DATE(YEAR(B35),MONTH(B35),Premissas!$B$16),DATE(YEAR(B35),MONTH(B35)+1,Premissas!$B$16))-Premissas!$B$11+1-Premissas!$B$15,0)</f>
        <v>0</v>
      </c>
      <c r="E35" s="13" t="n">
        <f aca="false">-SUMIF($D$5:$D$94,A35,$Y$5:$Y$94)</f>
        <v>-0</v>
      </c>
      <c r="F35" s="13" t="n">
        <f aca="false">-SUMIF($W$5:$W$94,A35,$V$5:$V$94)-SUMIF($AB$5:$AB$94,A35,$AA$5:$AA$94)</f>
        <v>-0</v>
      </c>
      <c r="G35" s="30" t="n">
        <f aca="false">C35/Premissas!$B$18*Premissas!$B$19*Premissas!$B$23</f>
        <v>0</v>
      </c>
      <c r="H35" s="30" t="n">
        <f aca="false">C35/Premissas!$B$18*Premissas!$B$19*Premissas!$B$24</f>
        <v>0</v>
      </c>
      <c r="I35" s="13" t="n">
        <f aca="false">-IF($A35-(Premissas!$B$60)&gt;=1,INDEX($G$5:$G$94,$A35-(Premissas!$B$60)),0)*(Premissas!$B$59*Unitário!$B$22+(Premissas!$B$61*Unitário!$B$24+Premissas!$B$63*Unitário!$B$25))</f>
        <v>-0</v>
      </c>
      <c r="J35" s="13" t="n">
        <f aca="false">IF($A35-(Premissas!$B$54)&gt;=1,INDEX($G$5:$G$94,$A35-(Premissas!$B$54)),0)*Premissas!$B$26*((Premissas!$B$59*Unitário!$B$22+(Premissas!$B$61*Unitário!$B$24+Premissas!$B$63*Unitário!$B$25))-Premissas!$B$39)</f>
        <v>0</v>
      </c>
      <c r="K35" s="13" t="n">
        <f aca="false">IF($A35-(Premissas!$B$54+Premissas!$B$57)&gt;=1,INDEX($G$5:$G$94,$A35-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35" s="13" t="n">
        <f aca="false">IF($A35-(Premissas!$B$54+Premissas!$B$55)&gt;=1,INDEX($G$5:$G$94,$A35-(Premissas!$B$54+Premissas!$B$55)),0)*Unitário!$B$21*(Premissas!$B$51-(1-Premissas!$B$61)*Unitário!$B$24-(1-Premissas!$B$63)*Unitário!$B$25-(1-Premissas!$B$59)*Unitário!$B$22)</f>
        <v>226.4157</v>
      </c>
      <c r="M35" s="13" t="n">
        <f aca="false">IF($A35-(Premissas!$B$56)&gt;=1,INDEX($H$5:$H$94,$A35-(Premissas!$B$56)),0)*(Premissas!$B$52-Unitário!$B$27)</f>
        <v>0</v>
      </c>
      <c r="N35" s="13" t="n">
        <f aca="false">-IF($A35-(Premissas!$B$60)&gt;=1,INDEX($H$5:$H$94,$A35-(Premissas!$B$60)),0)*(Premissas!$B$59*Unitário!$B$22+Premissas!$B$31)</f>
        <v>-0</v>
      </c>
      <c r="O35" s="13" t="n">
        <f aca="false">IF($A35-(Premissas!$B$54+Premissas!$B$57)&gt;=1,INDEX($H$5:$H$94,$A35-(Premissas!$B$54+Premissas!$B$57)),0)*Premissas!$B$27*(-Premissas!$B$52-Premissas!$B$41+Unitário!$B$27+(1-Premissas!$B$62)*Premissas!$B$31+Premissas!$B$59*Unitário!$B$22)</f>
        <v>-0</v>
      </c>
      <c r="P35" s="13" t="n">
        <f aca="false">-Premissas!$B$42*(IF($A35-(Premissas!$B$54+Premissas!$B$55)&gt;=1,INDEX($G$5:$G$94,$A35-(Premissas!$B$54+Premissas!$B$55)),0)*Unitário!$B$21*Premissas!$B$51+IF($A35-(Premissas!$B$56)&gt;=1,INDEX($H$5:$H$94,$A35-(Premissas!$B$56)),0)*(1-Premissas!$B$27)*Premissas!$B$52)</f>
        <v>-0</v>
      </c>
      <c r="Q35" s="13" t="n">
        <f aca="false">-IF(AND(DAY(B35+Premissas!$B$15)=Premissas!$B$16,B35+Premissas!$B$15&gt;=DATE(YEAR(Premissas!$B$11),MONTH(Premissas!$B$11)+1,Premissas!$B$16)),Premissas!$B$43,0)-IF(OR(E35&lt;0,F35&lt;0,IF(AND(DAY(B35+Premissas!$B$15)=Premissas!$B$16,B35+Premissas!$B$15&gt;=DATE(YEAR(Premissas!$B$11),MONTH(Premissas!$B$11)+1,Premissas!$B$16)),Premissas!$B$43,0)&gt;0),Premissas!$B$67*Premissas!$B$68,0)</f>
        <v>-0</v>
      </c>
      <c r="R35" s="13" t="n">
        <f aca="false">E35+F35+SUM(I35:Q35)</f>
        <v>226.4157</v>
      </c>
      <c r="S35" s="13" t="n">
        <f aca="false">S34+R35</f>
        <v>2187.980347882</v>
      </c>
      <c r="T35" s="16" t="n">
        <f aca="false">IF(AND($A35&gt;$B$100,S35&gt;=0),1,0)</f>
        <v>1</v>
      </c>
      <c r="U35" s="13" t="n">
        <f aca="false">S35-SUM($E$5:E35)-(1+Premissas!$B$17)*SUM($C$5:C35)</f>
        <v>1391.170347882</v>
      </c>
      <c r="V35" s="13" t="n">
        <f aca="false">(G35+H35)*Premissas!$B$21</f>
        <v>0</v>
      </c>
      <c r="W35" s="16" t="n">
        <f aca="false">IF(V35&gt;0,DATE(YEAR(B35),MONTH(B35)+1,Premissas!$B$16)-Premissas!$B$11+1-Premissas!$B$15,0)</f>
        <v>0</v>
      </c>
      <c r="X35" s="13" t="n">
        <f aca="false">X34-Y34+C35*(1+Premissas!$B$17)</f>
        <v>56.915</v>
      </c>
      <c r="Y35" s="13" t="n">
        <f aca="false">IF(OR(X35&gt;=Premissas!$B$13,B35=DATE(YEAR(B35),MONTH(B35)+1,0)),X35,0)</f>
        <v>0</v>
      </c>
      <c r="Z35" s="13" t="n">
        <f aca="false">Z34-AA34+C35/Premissas!$B$18*Premissas!$B$20</f>
        <v>9</v>
      </c>
      <c r="AA35" s="13" t="n">
        <f aca="false">IF(OR(Z35&gt;=Premissas!$B$14,B35=DATE(YEAR(B35),MONTH(B35)+1,0)),Z35,0)</f>
        <v>0</v>
      </c>
      <c r="AB35" s="16" t="n">
        <f aca="false">IF(AA35&gt;0,IF(DAY(B35)&lt;=Premissas!$B$12,DATE(YEAR(B35),MONTH(B35),Premissas!$B$16),DATE(YEAR(B35),MONTH(B35)+1,Premissas!$B$16))-Premissas!$B$11+1-Premissas!$B$15,0)</f>
        <v>0</v>
      </c>
    </row>
    <row r="36" customFormat="false" ht="15" hidden="false" customHeight="true" outlineLevel="0" collapsed="false">
      <c r="A36" s="16" t="n">
        <v>32</v>
      </c>
      <c r="B36" s="31" t="n">
        <f aca="false">Premissas!$B$11+A36-1</f>
        <v>46349</v>
      </c>
      <c r="C36" s="13" t="n">
        <f aca="false">IF(A36&lt;=Premissas!$B$7,Premissas!$B$6/Premissas!$B$7,IF(A36&lt;=Premissas!$B$7+Premissas!$B$8,0,IF(A36&lt;=Premissas!$B$7+Premissas!$B$8+Premissas!$B$10,Premissas!$B$9/Premissas!$B$10,0)))</f>
        <v>0</v>
      </c>
      <c r="D36" s="16" t="n">
        <f aca="false">IF(Y36&gt;0,IF(DAY(B36)&lt;=Premissas!$B$12,DATE(YEAR(B36),MONTH(B36),Premissas!$B$16),DATE(YEAR(B36),MONTH(B36)+1,Premissas!$B$16))-Premissas!$B$11+1-Premissas!$B$15,0)</f>
        <v>0</v>
      </c>
      <c r="E36" s="13" t="n">
        <f aca="false">-SUMIF($D$5:$D$94,A36,$Y$5:$Y$94)</f>
        <v>-0</v>
      </c>
      <c r="F36" s="13" t="n">
        <f aca="false">-SUMIF($W$5:$W$94,A36,$V$5:$V$94)-SUMIF($AB$5:$AB$94,A36,$AA$5:$AA$94)</f>
        <v>-0</v>
      </c>
      <c r="G36" s="30" t="n">
        <f aca="false">C36/Premissas!$B$18*Premissas!$B$19*Premissas!$B$23</f>
        <v>0</v>
      </c>
      <c r="H36" s="30" t="n">
        <f aca="false">C36/Premissas!$B$18*Premissas!$B$19*Premissas!$B$24</f>
        <v>0</v>
      </c>
      <c r="I36" s="13" t="n">
        <f aca="false">-IF($A36-(Premissas!$B$60)&gt;=1,INDEX($G$5:$G$94,$A36-(Premissas!$B$60)),0)*(Premissas!$B$59*Unitário!$B$22+(Premissas!$B$61*Unitário!$B$24+Premissas!$B$63*Unitário!$B$25))</f>
        <v>-0</v>
      </c>
      <c r="J36" s="13" t="n">
        <f aca="false">IF($A36-(Premissas!$B$54)&gt;=1,INDEX($G$5:$G$94,$A36-(Premissas!$B$54)),0)*Premissas!$B$26*((Premissas!$B$59*Unitário!$B$22+(Premissas!$B$61*Unitário!$B$24+Premissas!$B$63*Unitário!$B$25))-Premissas!$B$39)</f>
        <v>0</v>
      </c>
      <c r="K36" s="13" t="n">
        <f aca="false">IF($A36-(Premissas!$B$54+Premissas!$B$57)&gt;=1,INDEX($G$5:$G$94,$A36-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36" s="13" t="n">
        <f aca="false">IF($A36-(Premissas!$B$54+Premissas!$B$55)&gt;=1,INDEX($G$5:$G$94,$A36-(Premissas!$B$54+Premissas!$B$55)),0)*Unitário!$B$21*(Premissas!$B$51-(1-Premissas!$B$61)*Unitário!$B$24-(1-Premissas!$B$63)*Unitário!$B$25-(1-Premissas!$B$59)*Unitário!$B$22)</f>
        <v>226.4157</v>
      </c>
      <c r="M36" s="13" t="n">
        <f aca="false">IF($A36-(Premissas!$B$56)&gt;=1,INDEX($H$5:$H$94,$A36-(Premissas!$B$56)),0)*(Premissas!$B$52-Unitário!$B$27)</f>
        <v>0</v>
      </c>
      <c r="N36" s="13" t="n">
        <f aca="false">-IF($A36-(Premissas!$B$60)&gt;=1,INDEX($H$5:$H$94,$A36-(Premissas!$B$60)),0)*(Premissas!$B$59*Unitário!$B$22+Premissas!$B$31)</f>
        <v>-0</v>
      </c>
      <c r="O36" s="13" t="n">
        <f aca="false">IF($A36-(Premissas!$B$54+Premissas!$B$57)&gt;=1,INDEX($H$5:$H$94,$A36-(Premissas!$B$54+Premissas!$B$57)),0)*Premissas!$B$27*(-Premissas!$B$52-Premissas!$B$41+Unitário!$B$27+(1-Premissas!$B$62)*Premissas!$B$31+Premissas!$B$59*Unitário!$B$22)</f>
        <v>-0</v>
      </c>
      <c r="P36" s="13" t="n">
        <f aca="false">-Premissas!$B$42*(IF($A36-(Premissas!$B$54+Premissas!$B$55)&gt;=1,INDEX($G$5:$G$94,$A36-(Premissas!$B$54+Premissas!$B$55)),0)*Unitário!$B$21*Premissas!$B$51+IF($A36-(Premissas!$B$56)&gt;=1,INDEX($H$5:$H$94,$A36-(Premissas!$B$56)),0)*(1-Premissas!$B$27)*Premissas!$B$52)</f>
        <v>-0</v>
      </c>
      <c r="Q36" s="13" t="n">
        <f aca="false">-IF(AND(DAY(B36+Premissas!$B$15)=Premissas!$B$16,B36+Premissas!$B$15&gt;=DATE(YEAR(Premissas!$B$11),MONTH(Premissas!$B$11)+1,Premissas!$B$16)),Premissas!$B$43,0)-IF(OR(E36&lt;0,F36&lt;0,IF(AND(DAY(B36+Premissas!$B$15)=Premissas!$B$16,B36+Premissas!$B$15&gt;=DATE(YEAR(Premissas!$B$11),MONTH(Premissas!$B$11)+1,Premissas!$B$16)),Premissas!$B$43,0)&gt;0),Premissas!$B$67*Premissas!$B$68,0)</f>
        <v>-0</v>
      </c>
      <c r="R36" s="13" t="n">
        <f aca="false">E36+F36+SUM(I36:Q36)</f>
        <v>226.4157</v>
      </c>
      <c r="S36" s="13" t="n">
        <f aca="false">S35+R36</f>
        <v>2414.396047882</v>
      </c>
      <c r="T36" s="16" t="n">
        <f aca="false">IF(AND($A36&gt;$B$100,S36&gt;=0),1,0)</f>
        <v>1</v>
      </c>
      <c r="U36" s="13" t="n">
        <f aca="false">S36-SUM($E$5:E36)-(1+Premissas!$B$17)*SUM($C$5:C36)</f>
        <v>1617.586047882</v>
      </c>
      <c r="V36" s="13" t="n">
        <f aca="false">(G36+H36)*Premissas!$B$21</f>
        <v>0</v>
      </c>
      <c r="W36" s="16" t="n">
        <f aca="false">IF(V36&gt;0,DATE(YEAR(B36),MONTH(B36)+1,Premissas!$B$16)-Premissas!$B$11+1-Premissas!$B$15,0)</f>
        <v>0</v>
      </c>
      <c r="X36" s="13" t="n">
        <f aca="false">X35-Y35+C36*(1+Premissas!$B$17)</f>
        <v>56.915</v>
      </c>
      <c r="Y36" s="13" t="n">
        <f aca="false">IF(OR(X36&gt;=Premissas!$B$13,B36=DATE(YEAR(B36),MONTH(B36)+1,0)),X36,0)</f>
        <v>0</v>
      </c>
      <c r="Z36" s="13" t="n">
        <f aca="false">Z35-AA35+C36/Premissas!$B$18*Premissas!$B$20</f>
        <v>9</v>
      </c>
      <c r="AA36" s="13" t="n">
        <f aca="false">IF(OR(Z36&gt;=Premissas!$B$14,B36=DATE(YEAR(B36),MONTH(B36)+1,0)),Z36,0)</f>
        <v>0</v>
      </c>
      <c r="AB36" s="16" t="n">
        <f aca="false">IF(AA36&gt;0,IF(DAY(B36)&lt;=Premissas!$B$12,DATE(YEAR(B36),MONTH(B36),Premissas!$B$16),DATE(YEAR(B36),MONTH(B36)+1,Premissas!$B$16))-Premissas!$B$11+1-Premissas!$B$15,0)</f>
        <v>0</v>
      </c>
    </row>
    <row r="37" customFormat="false" ht="15" hidden="false" customHeight="true" outlineLevel="0" collapsed="false">
      <c r="A37" s="16" t="n">
        <v>33</v>
      </c>
      <c r="B37" s="31" t="n">
        <f aca="false">Premissas!$B$11+A37-1</f>
        <v>46350</v>
      </c>
      <c r="C37" s="13" t="n">
        <f aca="false">IF(A37&lt;=Premissas!$B$7,Premissas!$B$6/Premissas!$B$7,IF(A37&lt;=Premissas!$B$7+Premissas!$B$8,0,IF(A37&lt;=Premissas!$B$7+Premissas!$B$8+Premissas!$B$10,Premissas!$B$9/Premissas!$B$10,0)))</f>
        <v>0</v>
      </c>
      <c r="D37" s="16" t="n">
        <f aca="false">IF(Y37&gt;0,IF(DAY(B37)&lt;=Premissas!$B$12,DATE(YEAR(B37),MONTH(B37),Premissas!$B$16),DATE(YEAR(B37),MONTH(B37)+1,Premissas!$B$16))-Premissas!$B$11+1-Premissas!$B$15,0)</f>
        <v>0</v>
      </c>
      <c r="E37" s="13" t="n">
        <f aca="false">-SUMIF($D$5:$D$94,A37,$Y$5:$Y$94)</f>
        <v>-0</v>
      </c>
      <c r="F37" s="13" t="n">
        <f aca="false">-SUMIF($W$5:$W$94,A37,$V$5:$V$94)-SUMIF($AB$5:$AB$94,A37,$AA$5:$AA$94)</f>
        <v>-0</v>
      </c>
      <c r="G37" s="30" t="n">
        <f aca="false">C37/Premissas!$B$18*Premissas!$B$19*Premissas!$B$23</f>
        <v>0</v>
      </c>
      <c r="H37" s="30" t="n">
        <f aca="false">C37/Premissas!$B$18*Premissas!$B$19*Premissas!$B$24</f>
        <v>0</v>
      </c>
      <c r="I37" s="13" t="n">
        <f aca="false">-IF($A37-(Premissas!$B$60)&gt;=1,INDEX($G$5:$G$94,$A37-(Premissas!$B$60)),0)*(Premissas!$B$59*Unitário!$B$22+(Premissas!$B$61*Unitário!$B$24+Premissas!$B$63*Unitário!$B$25))</f>
        <v>-0</v>
      </c>
      <c r="J37" s="13" t="n">
        <f aca="false">IF($A37-(Premissas!$B$54)&gt;=1,INDEX($G$5:$G$94,$A37-(Premissas!$B$54)),0)*Premissas!$B$26*((Premissas!$B$59*Unitário!$B$22+(Premissas!$B$61*Unitário!$B$24+Premissas!$B$63*Unitário!$B$25))-Premissas!$B$39)</f>
        <v>0</v>
      </c>
      <c r="K37" s="13" t="n">
        <f aca="false">IF($A37-(Premissas!$B$54+Premissas!$B$57)&gt;=1,INDEX($G$5:$G$94,$A37-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37" s="13" t="n">
        <f aca="false">IF($A37-(Premissas!$B$54+Premissas!$B$55)&gt;=1,INDEX($G$5:$G$94,$A37-(Premissas!$B$54+Premissas!$B$55)),0)*Unitário!$B$21*(Premissas!$B$51-(1-Premissas!$B$61)*Unitário!$B$24-(1-Premissas!$B$63)*Unitário!$B$25-(1-Premissas!$B$59)*Unitário!$B$22)</f>
        <v>0</v>
      </c>
      <c r="M37" s="13" t="n">
        <f aca="false">IF($A37-(Premissas!$B$56)&gt;=1,INDEX($H$5:$H$94,$A37-(Premissas!$B$56)),0)*(Premissas!$B$52-Unitário!$B$27)</f>
        <v>0</v>
      </c>
      <c r="N37" s="13" t="n">
        <f aca="false">-IF($A37-(Premissas!$B$60)&gt;=1,INDEX($H$5:$H$94,$A37-(Premissas!$B$60)),0)*(Premissas!$B$59*Unitário!$B$22+Premissas!$B$31)</f>
        <v>-0</v>
      </c>
      <c r="O37" s="13" t="n">
        <f aca="false">IF($A37-(Premissas!$B$54+Premissas!$B$57)&gt;=1,INDEX($H$5:$H$94,$A37-(Premissas!$B$54+Premissas!$B$57)),0)*Premissas!$B$27*(-Premissas!$B$52-Premissas!$B$41+Unitário!$B$27+(1-Premissas!$B$62)*Premissas!$B$31+Premissas!$B$59*Unitário!$B$22)</f>
        <v>-0</v>
      </c>
      <c r="P37" s="13" t="n">
        <f aca="false">-Premissas!$B$42*(IF($A37-(Premissas!$B$54+Premissas!$B$55)&gt;=1,INDEX($G$5:$G$94,$A37-(Premissas!$B$54+Premissas!$B$55)),0)*Unitário!$B$21*Premissas!$B$51+IF($A37-(Premissas!$B$56)&gt;=1,INDEX($H$5:$H$94,$A37-(Premissas!$B$56)),0)*(1-Premissas!$B$27)*Premissas!$B$52)</f>
        <v>-0</v>
      </c>
      <c r="Q37" s="13" t="n">
        <f aca="false">-IF(AND(DAY(B37+Premissas!$B$15)=Premissas!$B$16,B37+Premissas!$B$15&gt;=DATE(YEAR(Premissas!$B$11),MONTH(Premissas!$B$11)+1,Premissas!$B$16)),Premissas!$B$43,0)-IF(OR(E37&lt;0,F37&lt;0,IF(AND(DAY(B37+Premissas!$B$15)=Premissas!$B$16,B37+Premissas!$B$15&gt;=DATE(YEAR(Premissas!$B$11),MONTH(Premissas!$B$11)+1,Premissas!$B$16)),Premissas!$B$43,0)&gt;0),Premissas!$B$67*Premissas!$B$68,0)</f>
        <v>-0</v>
      </c>
      <c r="R37" s="13" t="n">
        <f aca="false">E37+F37+SUM(I37:Q37)</f>
        <v>0</v>
      </c>
      <c r="S37" s="13" t="n">
        <f aca="false">S36+R37</f>
        <v>2414.396047882</v>
      </c>
      <c r="T37" s="16" t="n">
        <f aca="false">IF(AND($A37&gt;$B$100,S37&gt;=0),1,0)</f>
        <v>1</v>
      </c>
      <c r="U37" s="13" t="n">
        <f aca="false">S37-SUM($E$5:E37)-(1+Premissas!$B$17)*SUM($C$5:C37)</f>
        <v>1617.586047882</v>
      </c>
      <c r="V37" s="13" t="n">
        <f aca="false">(G37+H37)*Premissas!$B$21</f>
        <v>0</v>
      </c>
      <c r="W37" s="16" t="n">
        <f aca="false">IF(V37&gt;0,DATE(YEAR(B37),MONTH(B37)+1,Premissas!$B$16)-Premissas!$B$11+1-Premissas!$B$15,0)</f>
        <v>0</v>
      </c>
      <c r="X37" s="13" t="n">
        <f aca="false">X36-Y36+C37*(1+Premissas!$B$17)</f>
        <v>56.915</v>
      </c>
      <c r="Y37" s="13" t="n">
        <f aca="false">IF(OR(X37&gt;=Premissas!$B$13,B37=DATE(YEAR(B37),MONTH(B37)+1,0)),X37,0)</f>
        <v>0</v>
      </c>
      <c r="Z37" s="13" t="n">
        <f aca="false">Z36-AA36+C37/Premissas!$B$18*Premissas!$B$20</f>
        <v>9</v>
      </c>
      <c r="AA37" s="13" t="n">
        <f aca="false">IF(OR(Z37&gt;=Premissas!$B$14,B37=DATE(YEAR(B37),MONTH(B37)+1,0)),Z37,0)</f>
        <v>0</v>
      </c>
      <c r="AB37" s="16" t="n">
        <f aca="false">IF(AA37&gt;0,IF(DAY(B37)&lt;=Premissas!$B$12,DATE(YEAR(B37),MONTH(B37),Premissas!$B$16),DATE(YEAR(B37),MONTH(B37)+1,Premissas!$B$16))-Premissas!$B$11+1-Premissas!$B$15,0)</f>
        <v>0</v>
      </c>
    </row>
    <row r="38" customFormat="false" ht="15" hidden="false" customHeight="true" outlineLevel="0" collapsed="false">
      <c r="A38" s="16" t="n">
        <v>34</v>
      </c>
      <c r="B38" s="31" t="n">
        <f aca="false">Premissas!$B$11+A38-1</f>
        <v>46351</v>
      </c>
      <c r="C38" s="13" t="n">
        <f aca="false">IF(A38&lt;=Premissas!$B$7,Premissas!$B$6/Premissas!$B$7,IF(A38&lt;=Premissas!$B$7+Premissas!$B$8,0,IF(A38&lt;=Premissas!$B$7+Premissas!$B$8+Premissas!$B$10,Premissas!$B$9/Premissas!$B$10,0)))</f>
        <v>0</v>
      </c>
      <c r="D38" s="16" t="n">
        <f aca="false">IF(Y38&gt;0,IF(DAY(B38)&lt;=Premissas!$B$12,DATE(YEAR(B38),MONTH(B38),Premissas!$B$16),DATE(YEAR(B38),MONTH(B38)+1,Premissas!$B$16))-Premissas!$B$11+1-Premissas!$B$15,0)</f>
        <v>0</v>
      </c>
      <c r="E38" s="13" t="n">
        <f aca="false">-SUMIF($D$5:$D$94,A38,$Y$5:$Y$94)</f>
        <v>-0</v>
      </c>
      <c r="F38" s="13" t="n">
        <f aca="false">-SUMIF($W$5:$W$94,A38,$V$5:$V$94)-SUMIF($AB$5:$AB$94,A38,$AA$5:$AA$94)</f>
        <v>-0</v>
      </c>
      <c r="G38" s="30" t="n">
        <f aca="false">C38/Premissas!$B$18*Premissas!$B$19*Premissas!$B$23</f>
        <v>0</v>
      </c>
      <c r="H38" s="30" t="n">
        <f aca="false">C38/Premissas!$B$18*Premissas!$B$19*Premissas!$B$24</f>
        <v>0</v>
      </c>
      <c r="I38" s="13" t="n">
        <f aca="false">-IF($A38-(Premissas!$B$60)&gt;=1,INDEX($G$5:$G$94,$A38-(Premissas!$B$60)),0)*(Premissas!$B$59*Unitário!$B$22+(Premissas!$B$61*Unitário!$B$24+Premissas!$B$63*Unitário!$B$25))</f>
        <v>-0</v>
      </c>
      <c r="J38" s="13" t="n">
        <f aca="false">IF($A38-(Premissas!$B$54)&gt;=1,INDEX($G$5:$G$94,$A38-(Premissas!$B$54)),0)*Premissas!$B$26*((Premissas!$B$59*Unitário!$B$22+(Premissas!$B$61*Unitário!$B$24+Premissas!$B$63*Unitário!$B$25))-Premissas!$B$39)</f>
        <v>0</v>
      </c>
      <c r="K38" s="13" t="n">
        <f aca="false">IF($A38-(Premissas!$B$54+Premissas!$B$57)&gt;=1,INDEX($G$5:$G$94,$A38-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38" s="13" t="n">
        <f aca="false">IF($A38-(Premissas!$B$54+Premissas!$B$55)&gt;=1,INDEX($G$5:$G$94,$A38-(Premissas!$B$54+Premissas!$B$55)),0)*Unitário!$B$21*(Premissas!$B$51-(1-Premissas!$B$61)*Unitário!$B$24-(1-Premissas!$B$63)*Unitário!$B$25-(1-Premissas!$B$59)*Unitário!$B$22)</f>
        <v>0</v>
      </c>
      <c r="M38" s="13" t="n">
        <f aca="false">IF($A38-(Premissas!$B$56)&gt;=1,INDEX($H$5:$H$94,$A38-(Premissas!$B$56)),0)*(Premissas!$B$52-Unitário!$B$27)</f>
        <v>0</v>
      </c>
      <c r="N38" s="13" t="n">
        <f aca="false">-IF($A38-(Premissas!$B$60)&gt;=1,INDEX($H$5:$H$94,$A38-(Premissas!$B$60)),0)*(Premissas!$B$59*Unitário!$B$22+Premissas!$B$31)</f>
        <v>-0</v>
      </c>
      <c r="O38" s="13" t="n">
        <f aca="false">IF($A38-(Premissas!$B$54+Premissas!$B$57)&gt;=1,INDEX($H$5:$H$94,$A38-(Premissas!$B$54+Premissas!$B$57)),0)*Premissas!$B$27*(-Premissas!$B$52-Premissas!$B$41+Unitário!$B$27+(1-Premissas!$B$62)*Premissas!$B$31+Premissas!$B$59*Unitário!$B$22)</f>
        <v>-0</v>
      </c>
      <c r="P38" s="13" t="n">
        <f aca="false">-Premissas!$B$42*(IF($A38-(Premissas!$B$54+Premissas!$B$55)&gt;=1,INDEX($G$5:$G$94,$A38-(Premissas!$B$54+Premissas!$B$55)),0)*Unitário!$B$21*Premissas!$B$51+IF($A38-(Premissas!$B$56)&gt;=1,INDEX($H$5:$H$94,$A38-(Premissas!$B$56)),0)*(1-Premissas!$B$27)*Premissas!$B$52)</f>
        <v>-0</v>
      </c>
      <c r="Q38" s="13" t="n">
        <f aca="false">-IF(AND(DAY(B38+Premissas!$B$15)=Premissas!$B$16,B38+Premissas!$B$15&gt;=DATE(YEAR(Premissas!$B$11),MONTH(Premissas!$B$11)+1,Premissas!$B$16)),Premissas!$B$43,0)-IF(OR(E38&lt;0,F38&lt;0,IF(AND(DAY(B38+Premissas!$B$15)=Premissas!$B$16,B38+Premissas!$B$15&gt;=DATE(YEAR(Premissas!$B$11),MONTH(Premissas!$B$11)+1,Premissas!$B$16)),Premissas!$B$43,0)&gt;0),Premissas!$B$67*Premissas!$B$68,0)</f>
        <v>-0</v>
      </c>
      <c r="R38" s="13" t="n">
        <f aca="false">E38+F38+SUM(I38:Q38)</f>
        <v>0</v>
      </c>
      <c r="S38" s="13" t="n">
        <f aca="false">S37+R38</f>
        <v>2414.396047882</v>
      </c>
      <c r="T38" s="16" t="n">
        <f aca="false">IF(AND($A38&gt;$B$100,S38&gt;=0),1,0)</f>
        <v>1</v>
      </c>
      <c r="U38" s="13" t="n">
        <f aca="false">S38-SUM($E$5:E38)-(1+Premissas!$B$17)*SUM($C$5:C38)</f>
        <v>1617.586047882</v>
      </c>
      <c r="V38" s="13" t="n">
        <f aca="false">(G38+H38)*Premissas!$B$21</f>
        <v>0</v>
      </c>
      <c r="W38" s="16" t="n">
        <f aca="false">IF(V38&gt;0,DATE(YEAR(B38),MONTH(B38)+1,Premissas!$B$16)-Premissas!$B$11+1-Premissas!$B$15,0)</f>
        <v>0</v>
      </c>
      <c r="X38" s="13" t="n">
        <f aca="false">X37-Y37+C38*(1+Premissas!$B$17)</f>
        <v>56.915</v>
      </c>
      <c r="Y38" s="13" t="n">
        <f aca="false">IF(OR(X38&gt;=Premissas!$B$13,B38=DATE(YEAR(B38),MONTH(B38)+1,0)),X38,0)</f>
        <v>0</v>
      </c>
      <c r="Z38" s="13" t="n">
        <f aca="false">Z37-AA37+C38/Premissas!$B$18*Premissas!$B$20</f>
        <v>9</v>
      </c>
      <c r="AA38" s="13" t="n">
        <f aca="false">IF(OR(Z38&gt;=Premissas!$B$14,B38=DATE(YEAR(B38),MONTH(B38)+1,0)),Z38,0)</f>
        <v>0</v>
      </c>
      <c r="AB38" s="16" t="n">
        <f aca="false">IF(AA38&gt;0,IF(DAY(B38)&lt;=Premissas!$B$12,DATE(YEAR(B38),MONTH(B38),Premissas!$B$16),DATE(YEAR(B38),MONTH(B38)+1,Premissas!$B$16))-Premissas!$B$11+1-Premissas!$B$15,0)</f>
        <v>0</v>
      </c>
    </row>
    <row r="39" customFormat="false" ht="15" hidden="false" customHeight="true" outlineLevel="0" collapsed="false">
      <c r="A39" s="16" t="n">
        <v>35</v>
      </c>
      <c r="B39" s="31" t="n">
        <f aca="false">Premissas!$B$11+A39-1</f>
        <v>46352</v>
      </c>
      <c r="C39" s="13" t="n">
        <f aca="false">IF(A39&lt;=Premissas!$B$7,Premissas!$B$6/Premissas!$B$7,IF(A39&lt;=Premissas!$B$7+Premissas!$B$8,0,IF(A39&lt;=Premissas!$B$7+Premissas!$B$8+Premissas!$B$10,Premissas!$B$9/Premissas!$B$10,0)))</f>
        <v>0</v>
      </c>
      <c r="D39" s="16" t="n">
        <f aca="false">IF(Y39&gt;0,IF(DAY(B39)&lt;=Premissas!$B$12,DATE(YEAR(B39),MONTH(B39),Premissas!$B$16),DATE(YEAR(B39),MONTH(B39)+1,Premissas!$B$16))-Premissas!$B$11+1-Premissas!$B$15,0)</f>
        <v>0</v>
      </c>
      <c r="E39" s="13" t="n">
        <f aca="false">-SUMIF($D$5:$D$94,A39,$Y$5:$Y$94)</f>
        <v>-0</v>
      </c>
      <c r="F39" s="13" t="n">
        <f aca="false">-SUMIF($W$5:$W$94,A39,$V$5:$V$94)-SUMIF($AB$5:$AB$94,A39,$AA$5:$AA$94)</f>
        <v>-0</v>
      </c>
      <c r="G39" s="30" t="n">
        <f aca="false">C39/Premissas!$B$18*Premissas!$B$19*Premissas!$B$23</f>
        <v>0</v>
      </c>
      <c r="H39" s="30" t="n">
        <f aca="false">C39/Premissas!$B$18*Premissas!$B$19*Premissas!$B$24</f>
        <v>0</v>
      </c>
      <c r="I39" s="13" t="n">
        <f aca="false">-IF($A39-(Premissas!$B$60)&gt;=1,INDEX($G$5:$G$94,$A39-(Premissas!$B$60)),0)*(Premissas!$B$59*Unitário!$B$22+(Premissas!$B$61*Unitário!$B$24+Premissas!$B$63*Unitário!$B$25))</f>
        <v>-0</v>
      </c>
      <c r="J39" s="13" t="n">
        <f aca="false">IF($A39-(Premissas!$B$54)&gt;=1,INDEX($G$5:$G$94,$A39-(Premissas!$B$54)),0)*Premissas!$B$26*((Premissas!$B$59*Unitário!$B$22+(Premissas!$B$61*Unitário!$B$24+Premissas!$B$63*Unitário!$B$25))-Premissas!$B$39)</f>
        <v>0</v>
      </c>
      <c r="K39" s="13" t="n">
        <f aca="false">IF($A39-(Premissas!$B$54+Premissas!$B$57)&gt;=1,INDEX($G$5:$G$94,$A39-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39" s="13" t="n">
        <f aca="false">IF($A39-(Premissas!$B$54+Premissas!$B$55)&gt;=1,INDEX($G$5:$G$94,$A39-(Premissas!$B$54+Premissas!$B$55)),0)*Unitário!$B$21*(Premissas!$B$51-(1-Premissas!$B$61)*Unitário!$B$24-(1-Premissas!$B$63)*Unitário!$B$25-(1-Premissas!$B$59)*Unitário!$B$22)</f>
        <v>0</v>
      </c>
      <c r="M39" s="13" t="n">
        <f aca="false">IF($A39-(Premissas!$B$56)&gt;=1,INDEX($H$5:$H$94,$A39-(Premissas!$B$56)),0)*(Premissas!$B$52-Unitário!$B$27)</f>
        <v>0</v>
      </c>
      <c r="N39" s="13" t="n">
        <f aca="false">-IF($A39-(Premissas!$B$60)&gt;=1,INDEX($H$5:$H$94,$A39-(Premissas!$B$60)),0)*(Premissas!$B$59*Unitário!$B$22+Premissas!$B$31)</f>
        <v>-0</v>
      </c>
      <c r="O39" s="13" t="n">
        <f aca="false">IF($A39-(Premissas!$B$54+Premissas!$B$57)&gt;=1,INDEX($H$5:$H$94,$A39-(Premissas!$B$54+Premissas!$B$57)),0)*Premissas!$B$27*(-Premissas!$B$52-Premissas!$B$41+Unitário!$B$27+(1-Premissas!$B$62)*Premissas!$B$31+Premissas!$B$59*Unitário!$B$22)</f>
        <v>-0</v>
      </c>
      <c r="P39" s="13" t="n">
        <f aca="false">-Premissas!$B$42*(IF($A39-(Premissas!$B$54+Premissas!$B$55)&gt;=1,INDEX($G$5:$G$94,$A39-(Premissas!$B$54+Premissas!$B$55)),0)*Unitário!$B$21*Premissas!$B$51+IF($A39-(Premissas!$B$56)&gt;=1,INDEX($H$5:$H$94,$A39-(Premissas!$B$56)),0)*(1-Premissas!$B$27)*Premissas!$B$52)</f>
        <v>-0</v>
      </c>
      <c r="Q39" s="13" t="n">
        <f aca="false">-IF(AND(DAY(B39+Premissas!$B$15)=Premissas!$B$16,B39+Premissas!$B$15&gt;=DATE(YEAR(Premissas!$B$11),MONTH(Premissas!$B$11)+1,Premissas!$B$16)),Premissas!$B$43,0)-IF(OR(E39&lt;0,F39&lt;0,IF(AND(DAY(B39+Premissas!$B$15)=Premissas!$B$16,B39+Premissas!$B$15&gt;=DATE(YEAR(Premissas!$B$11),MONTH(Premissas!$B$11)+1,Premissas!$B$16)),Premissas!$B$43,0)&gt;0),Premissas!$B$67*Premissas!$B$68,0)</f>
        <v>-0</v>
      </c>
      <c r="R39" s="13" t="n">
        <f aca="false">E39+F39+SUM(I39:Q39)</f>
        <v>0</v>
      </c>
      <c r="S39" s="13" t="n">
        <f aca="false">S38+R39</f>
        <v>2414.396047882</v>
      </c>
      <c r="T39" s="16" t="n">
        <f aca="false">IF(AND($A39&gt;$B$100,S39&gt;=0),1,0)</f>
        <v>1</v>
      </c>
      <c r="U39" s="13" t="n">
        <f aca="false">S39-SUM($E$5:E39)-(1+Premissas!$B$17)*SUM($C$5:C39)</f>
        <v>1617.586047882</v>
      </c>
      <c r="V39" s="13" t="n">
        <f aca="false">(G39+H39)*Premissas!$B$21</f>
        <v>0</v>
      </c>
      <c r="W39" s="16" t="n">
        <f aca="false">IF(V39&gt;0,DATE(YEAR(B39),MONTH(B39)+1,Premissas!$B$16)-Premissas!$B$11+1-Premissas!$B$15,0)</f>
        <v>0</v>
      </c>
      <c r="X39" s="13" t="n">
        <f aca="false">X38-Y38+C39*(1+Premissas!$B$17)</f>
        <v>56.915</v>
      </c>
      <c r="Y39" s="13" t="n">
        <f aca="false">IF(OR(X39&gt;=Premissas!$B$13,B39=DATE(YEAR(B39),MONTH(B39)+1,0)),X39,0)</f>
        <v>0</v>
      </c>
      <c r="Z39" s="13" t="n">
        <f aca="false">Z38-AA38+C39/Premissas!$B$18*Premissas!$B$20</f>
        <v>9</v>
      </c>
      <c r="AA39" s="13" t="n">
        <f aca="false">IF(OR(Z39&gt;=Premissas!$B$14,B39=DATE(YEAR(B39),MONTH(B39)+1,0)),Z39,0)</f>
        <v>0</v>
      </c>
      <c r="AB39" s="16" t="n">
        <f aca="false">IF(AA39&gt;0,IF(DAY(B39)&lt;=Premissas!$B$12,DATE(YEAR(B39),MONTH(B39),Premissas!$B$16),DATE(YEAR(B39),MONTH(B39)+1,Premissas!$B$16))-Premissas!$B$11+1-Premissas!$B$15,0)</f>
        <v>0</v>
      </c>
    </row>
    <row r="40" customFormat="false" ht="15" hidden="false" customHeight="true" outlineLevel="0" collapsed="false">
      <c r="A40" s="16" t="n">
        <v>36</v>
      </c>
      <c r="B40" s="31" t="n">
        <f aca="false">Premissas!$B$11+A40-1</f>
        <v>46353</v>
      </c>
      <c r="C40" s="13" t="n">
        <f aca="false">IF(A40&lt;=Premissas!$B$7,Premissas!$B$6/Premissas!$B$7,IF(A40&lt;=Premissas!$B$7+Premissas!$B$8,0,IF(A40&lt;=Premissas!$B$7+Premissas!$B$8+Premissas!$B$10,Premissas!$B$9/Premissas!$B$10,0)))</f>
        <v>0</v>
      </c>
      <c r="D40" s="16" t="n">
        <f aca="false">IF(Y40&gt;0,IF(DAY(B40)&lt;=Premissas!$B$12,DATE(YEAR(B40),MONTH(B40),Premissas!$B$16),DATE(YEAR(B40),MONTH(B40)+1,Premissas!$B$16))-Premissas!$B$11+1-Premissas!$B$15,0)</f>
        <v>0</v>
      </c>
      <c r="E40" s="13" t="n">
        <f aca="false">-SUMIF($D$5:$D$94,A40,$Y$5:$Y$94)</f>
        <v>-739.895</v>
      </c>
      <c r="F40" s="13" t="n">
        <f aca="false">-SUMIF($W$5:$W$94,A40,$V$5:$V$94)-SUMIF($AB$5:$AB$94,A40,$AA$5:$AA$94)</f>
        <v>-117.933333333333</v>
      </c>
      <c r="G40" s="30" t="n">
        <f aca="false">C40/Premissas!$B$18*Premissas!$B$19*Premissas!$B$23</f>
        <v>0</v>
      </c>
      <c r="H40" s="30" t="n">
        <f aca="false">C40/Premissas!$B$18*Premissas!$B$19*Premissas!$B$24</f>
        <v>0</v>
      </c>
      <c r="I40" s="13" t="n">
        <f aca="false">-IF($A40-(Premissas!$B$60)&gt;=1,INDEX($G$5:$G$94,$A40-(Premissas!$B$60)),0)*(Premissas!$B$59*Unitário!$B$22+(Premissas!$B$61*Unitário!$B$24+Premissas!$B$63*Unitário!$B$25))</f>
        <v>-0</v>
      </c>
      <c r="J40" s="13" t="n">
        <f aca="false">IF($A40-(Premissas!$B$54)&gt;=1,INDEX($G$5:$G$94,$A40-(Premissas!$B$54)),0)*Premissas!$B$26*((Premissas!$B$59*Unitário!$B$22+(Premissas!$B$61*Unitário!$B$24+Premissas!$B$63*Unitário!$B$25))-Premissas!$B$39)</f>
        <v>0</v>
      </c>
      <c r="K40" s="13" t="n">
        <f aca="false">IF($A40-(Premissas!$B$54+Premissas!$B$57)&gt;=1,INDEX($G$5:$G$94,$A40-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40" s="13" t="n">
        <f aca="false">IF($A40-(Premissas!$B$54+Premissas!$B$55)&gt;=1,INDEX($G$5:$G$94,$A40-(Premissas!$B$54+Premissas!$B$55)),0)*Unitário!$B$21*(Premissas!$B$51-(1-Premissas!$B$61)*Unitário!$B$24-(1-Premissas!$B$63)*Unitário!$B$25-(1-Premissas!$B$59)*Unitário!$B$22)</f>
        <v>0</v>
      </c>
      <c r="M40" s="13" t="n">
        <f aca="false">IF($A40-(Premissas!$B$56)&gt;=1,INDEX($H$5:$H$94,$A40-(Premissas!$B$56)),0)*(Premissas!$B$52-Unitário!$B$27)</f>
        <v>0</v>
      </c>
      <c r="N40" s="13" t="n">
        <f aca="false">-IF($A40-(Premissas!$B$60)&gt;=1,INDEX($H$5:$H$94,$A40-(Premissas!$B$60)),0)*(Premissas!$B$59*Unitário!$B$22+Premissas!$B$31)</f>
        <v>-0</v>
      </c>
      <c r="O40" s="13" t="n">
        <f aca="false">IF($A40-(Premissas!$B$54+Premissas!$B$57)&gt;=1,INDEX($H$5:$H$94,$A40-(Premissas!$B$54+Premissas!$B$57)),0)*Premissas!$B$27*(-Premissas!$B$52-Premissas!$B$41+Unitário!$B$27+(1-Premissas!$B$62)*Premissas!$B$31+Premissas!$B$59*Unitário!$B$22)</f>
        <v>-0</v>
      </c>
      <c r="P40" s="13" t="n">
        <f aca="false">-Premissas!$B$42*(IF($A40-(Premissas!$B$54+Premissas!$B$55)&gt;=1,INDEX($G$5:$G$94,$A40-(Premissas!$B$54+Premissas!$B$55)),0)*Unitário!$B$21*Premissas!$B$51+IF($A40-(Premissas!$B$56)&gt;=1,INDEX($H$5:$H$94,$A40-(Premissas!$B$56)),0)*(1-Premissas!$B$27)*Premissas!$B$52)</f>
        <v>-0</v>
      </c>
      <c r="Q40" s="13" t="n">
        <f aca="false">-IF(AND(DAY(B40+Premissas!$B$15)=Premissas!$B$16,B40+Premissas!$B$15&gt;=DATE(YEAR(Premissas!$B$11),MONTH(Premissas!$B$11)+1,Premissas!$B$16)),Premissas!$B$43,0)-IF(OR(E40&lt;0,F40&lt;0,IF(AND(DAY(B40+Premissas!$B$15)=Premissas!$B$16,B40+Premissas!$B$15&gt;=DATE(YEAR(Premissas!$B$11),MONTH(Premissas!$B$11)+1,Premissas!$B$16)),Premissas!$B$43,0)&gt;0),Premissas!$B$67*Premissas!$B$68,0)</f>
        <v>-57.49</v>
      </c>
      <c r="R40" s="13" t="n">
        <f aca="false">E40+F40+SUM(I40:Q40)</f>
        <v>-915.318333333334</v>
      </c>
      <c r="S40" s="13" t="n">
        <f aca="false">S39+R40</f>
        <v>1499.07771454867</v>
      </c>
      <c r="T40" s="16" t="n">
        <f aca="false">IF(AND($A40&gt;$B$100,S40&gt;=0),1,0)</f>
        <v>1</v>
      </c>
      <c r="U40" s="13" t="n">
        <f aca="false">S40-SUM($E$5:E40)-(1+Premissas!$B$17)*SUM($C$5:C40)</f>
        <v>1442.16271454867</v>
      </c>
      <c r="V40" s="13" t="n">
        <f aca="false">(G40+H40)*Premissas!$B$21</f>
        <v>0</v>
      </c>
      <c r="W40" s="16" t="n">
        <f aca="false">IF(V40&gt;0,DATE(YEAR(B40),MONTH(B40)+1,Premissas!$B$16)-Premissas!$B$11+1-Premissas!$B$15,0)</f>
        <v>0</v>
      </c>
      <c r="X40" s="13" t="n">
        <f aca="false">X39-Y39+C40*(1+Premissas!$B$17)</f>
        <v>56.915</v>
      </c>
      <c r="Y40" s="13" t="n">
        <f aca="false">IF(OR(X40&gt;=Premissas!$B$13,B40=DATE(YEAR(B40),MONTH(B40)+1,0)),X40,0)</f>
        <v>0</v>
      </c>
      <c r="Z40" s="13" t="n">
        <f aca="false">Z39-AA39+C40/Premissas!$B$18*Premissas!$B$20</f>
        <v>9</v>
      </c>
      <c r="AA40" s="13" t="n">
        <f aca="false">IF(OR(Z40&gt;=Premissas!$B$14,B40=DATE(YEAR(B40),MONTH(B40)+1,0)),Z40,0)</f>
        <v>0</v>
      </c>
      <c r="AB40" s="16" t="n">
        <f aca="false">IF(AA40&gt;0,IF(DAY(B40)&lt;=Premissas!$B$12,DATE(YEAR(B40),MONTH(B40),Premissas!$B$16),DATE(YEAR(B40),MONTH(B40)+1,Premissas!$B$16))-Premissas!$B$11+1-Premissas!$B$15,0)</f>
        <v>0</v>
      </c>
    </row>
    <row r="41" customFormat="false" ht="15" hidden="false" customHeight="true" outlineLevel="0" collapsed="false">
      <c r="A41" s="16" t="n">
        <v>37</v>
      </c>
      <c r="B41" s="31" t="n">
        <f aca="false">Premissas!$B$11+A41-1</f>
        <v>46354</v>
      </c>
      <c r="C41" s="13" t="n">
        <f aca="false">IF(A41&lt;=Premissas!$B$7,Premissas!$B$6/Premissas!$B$7,IF(A41&lt;=Premissas!$B$7+Premissas!$B$8,0,IF(A41&lt;=Premissas!$B$7+Premissas!$B$8+Premissas!$B$10,Premissas!$B$9/Premissas!$B$10,0)))</f>
        <v>0</v>
      </c>
      <c r="D41" s="16" t="n">
        <f aca="false">IF(Y41&gt;0,IF(DAY(B41)&lt;=Premissas!$B$12,DATE(YEAR(B41),MONTH(B41),Premissas!$B$16),DATE(YEAR(B41),MONTH(B41)+1,Premissas!$B$16))-Premissas!$B$11+1-Premissas!$B$15,0)</f>
        <v>0</v>
      </c>
      <c r="E41" s="13" t="n">
        <f aca="false">-SUMIF($D$5:$D$94,A41,$Y$5:$Y$94)</f>
        <v>-0</v>
      </c>
      <c r="F41" s="13" t="n">
        <f aca="false">-SUMIF($W$5:$W$94,A41,$V$5:$V$94)-SUMIF($AB$5:$AB$94,A41,$AA$5:$AA$94)</f>
        <v>-0</v>
      </c>
      <c r="G41" s="30" t="n">
        <f aca="false">C41/Premissas!$B$18*Premissas!$B$19*Premissas!$B$23</f>
        <v>0</v>
      </c>
      <c r="H41" s="30" t="n">
        <f aca="false">C41/Premissas!$B$18*Premissas!$B$19*Premissas!$B$24</f>
        <v>0</v>
      </c>
      <c r="I41" s="13" t="n">
        <f aca="false">-IF($A41-(Premissas!$B$60)&gt;=1,INDEX($G$5:$G$94,$A41-(Premissas!$B$60)),0)*(Premissas!$B$59*Unitário!$B$22+(Premissas!$B$61*Unitário!$B$24+Premissas!$B$63*Unitário!$B$25))</f>
        <v>-0</v>
      </c>
      <c r="J41" s="13" t="n">
        <f aca="false">IF($A41-(Premissas!$B$54)&gt;=1,INDEX($G$5:$G$94,$A41-(Premissas!$B$54)),0)*Premissas!$B$26*((Premissas!$B$59*Unitário!$B$22+(Premissas!$B$61*Unitário!$B$24+Premissas!$B$63*Unitário!$B$25))-Premissas!$B$39)</f>
        <v>0</v>
      </c>
      <c r="K41" s="13" t="n">
        <f aca="false">IF($A41-(Premissas!$B$54+Premissas!$B$57)&gt;=1,INDEX($G$5:$G$94,$A41-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41" s="13" t="n">
        <f aca="false">IF($A41-(Premissas!$B$54+Premissas!$B$55)&gt;=1,INDEX($G$5:$G$94,$A41-(Premissas!$B$54+Premissas!$B$55)),0)*Unitário!$B$21*(Premissas!$B$51-(1-Premissas!$B$61)*Unitário!$B$24-(1-Premissas!$B$63)*Unitário!$B$25-(1-Premissas!$B$59)*Unitário!$B$22)</f>
        <v>0</v>
      </c>
      <c r="M41" s="13" t="n">
        <f aca="false">IF($A41-(Premissas!$B$56)&gt;=1,INDEX($H$5:$H$94,$A41-(Premissas!$B$56)),0)*(Premissas!$B$52-Unitário!$B$27)</f>
        <v>0</v>
      </c>
      <c r="N41" s="13" t="n">
        <f aca="false">-IF($A41-(Premissas!$B$60)&gt;=1,INDEX($H$5:$H$94,$A41-(Premissas!$B$60)),0)*(Premissas!$B$59*Unitário!$B$22+Premissas!$B$31)</f>
        <v>-0</v>
      </c>
      <c r="O41" s="13" t="n">
        <f aca="false">IF($A41-(Premissas!$B$54+Premissas!$B$57)&gt;=1,INDEX($H$5:$H$94,$A41-(Premissas!$B$54+Premissas!$B$57)),0)*Premissas!$B$27*(-Premissas!$B$52-Premissas!$B$41+Unitário!$B$27+(1-Premissas!$B$62)*Premissas!$B$31+Premissas!$B$59*Unitário!$B$22)</f>
        <v>-0</v>
      </c>
      <c r="P41" s="13" t="n">
        <f aca="false">-Premissas!$B$42*(IF($A41-(Premissas!$B$54+Premissas!$B$55)&gt;=1,INDEX($G$5:$G$94,$A41-(Premissas!$B$54+Premissas!$B$55)),0)*Unitário!$B$21*Premissas!$B$51+IF($A41-(Premissas!$B$56)&gt;=1,INDEX($H$5:$H$94,$A41-(Premissas!$B$56)),0)*(1-Premissas!$B$27)*Premissas!$B$52)</f>
        <v>-0</v>
      </c>
      <c r="Q41" s="13" t="n">
        <f aca="false">-IF(AND(DAY(B41+Premissas!$B$15)=Premissas!$B$16,B41+Premissas!$B$15&gt;=DATE(YEAR(Premissas!$B$11),MONTH(Premissas!$B$11)+1,Premissas!$B$16)),Premissas!$B$43,0)-IF(OR(E41&lt;0,F41&lt;0,IF(AND(DAY(B41+Premissas!$B$15)=Premissas!$B$16,B41+Premissas!$B$15&gt;=DATE(YEAR(Premissas!$B$11),MONTH(Premissas!$B$11)+1,Premissas!$B$16)),Premissas!$B$43,0)&gt;0),Premissas!$B$67*Premissas!$B$68,0)</f>
        <v>-0</v>
      </c>
      <c r="R41" s="13" t="n">
        <f aca="false">E41+F41+SUM(I41:Q41)</f>
        <v>0</v>
      </c>
      <c r="S41" s="13" t="n">
        <f aca="false">S40+R41</f>
        <v>1499.07771454867</v>
      </c>
      <c r="T41" s="16" t="n">
        <f aca="false">IF(AND($A41&gt;$B$100,S41&gt;=0),1,0)</f>
        <v>1</v>
      </c>
      <c r="U41" s="13" t="n">
        <f aca="false">S41-SUM($E$5:E41)-(1+Premissas!$B$17)*SUM($C$5:C41)</f>
        <v>1442.16271454867</v>
      </c>
      <c r="V41" s="13" t="n">
        <f aca="false">(G41+H41)*Premissas!$B$21</f>
        <v>0</v>
      </c>
      <c r="W41" s="16" t="n">
        <f aca="false">IF(V41&gt;0,DATE(YEAR(B41),MONTH(B41)+1,Premissas!$B$16)-Premissas!$B$11+1-Premissas!$B$15,0)</f>
        <v>0</v>
      </c>
      <c r="X41" s="13" t="n">
        <f aca="false">X40-Y40+C41*(1+Premissas!$B$17)</f>
        <v>56.915</v>
      </c>
      <c r="Y41" s="13" t="n">
        <f aca="false">IF(OR(X41&gt;=Premissas!$B$13,B41=DATE(YEAR(B41),MONTH(B41)+1,0)),X41,0)</f>
        <v>0</v>
      </c>
      <c r="Z41" s="13" t="n">
        <f aca="false">Z40-AA40+C41/Premissas!$B$18*Premissas!$B$20</f>
        <v>9</v>
      </c>
      <c r="AA41" s="13" t="n">
        <f aca="false">IF(OR(Z41&gt;=Premissas!$B$14,B41=DATE(YEAR(B41),MONTH(B41)+1,0)),Z41,0)</f>
        <v>0</v>
      </c>
      <c r="AB41" s="16" t="n">
        <f aca="false">IF(AA41&gt;0,IF(DAY(B41)&lt;=Premissas!$B$12,DATE(YEAR(B41),MONTH(B41),Premissas!$B$16),DATE(YEAR(B41),MONTH(B41)+1,Premissas!$B$16))-Premissas!$B$11+1-Premissas!$B$15,0)</f>
        <v>0</v>
      </c>
    </row>
    <row r="42" customFormat="false" ht="15" hidden="false" customHeight="true" outlineLevel="0" collapsed="false">
      <c r="A42" s="16" t="n">
        <v>38</v>
      </c>
      <c r="B42" s="31" t="n">
        <f aca="false">Premissas!$B$11+A42-1</f>
        <v>46355</v>
      </c>
      <c r="C42" s="13" t="n">
        <f aca="false">IF(A42&lt;=Premissas!$B$7,Premissas!$B$6/Premissas!$B$7,IF(A42&lt;=Premissas!$B$7+Premissas!$B$8,0,IF(A42&lt;=Premissas!$B$7+Premissas!$B$8+Premissas!$B$10,Premissas!$B$9/Premissas!$B$10,0)))</f>
        <v>0</v>
      </c>
      <c r="D42" s="16" t="n">
        <f aca="false">IF(Y42&gt;0,IF(DAY(B42)&lt;=Premissas!$B$12,DATE(YEAR(B42),MONTH(B42),Premissas!$B$16),DATE(YEAR(B42),MONTH(B42)+1,Premissas!$B$16))-Premissas!$B$11+1-Premissas!$B$15,0)</f>
        <v>0</v>
      </c>
      <c r="E42" s="13" t="n">
        <f aca="false">-SUMIF($D$5:$D$94,A42,$Y$5:$Y$94)</f>
        <v>-0</v>
      </c>
      <c r="F42" s="13" t="n">
        <f aca="false">-SUMIF($W$5:$W$94,A42,$V$5:$V$94)-SUMIF($AB$5:$AB$94,A42,$AA$5:$AA$94)</f>
        <v>-0</v>
      </c>
      <c r="G42" s="30" t="n">
        <f aca="false">C42/Premissas!$B$18*Premissas!$B$19*Premissas!$B$23</f>
        <v>0</v>
      </c>
      <c r="H42" s="30" t="n">
        <f aca="false">C42/Premissas!$B$18*Premissas!$B$19*Premissas!$B$24</f>
        <v>0</v>
      </c>
      <c r="I42" s="13" t="n">
        <f aca="false">-IF($A42-(Premissas!$B$60)&gt;=1,INDEX($G$5:$G$94,$A42-(Premissas!$B$60)),0)*(Premissas!$B$59*Unitário!$B$22+(Premissas!$B$61*Unitário!$B$24+Premissas!$B$63*Unitário!$B$25))</f>
        <v>-0</v>
      </c>
      <c r="J42" s="13" t="n">
        <f aca="false">IF($A42-(Premissas!$B$54)&gt;=1,INDEX($G$5:$G$94,$A42-(Premissas!$B$54)),0)*Premissas!$B$26*((Premissas!$B$59*Unitário!$B$22+(Premissas!$B$61*Unitário!$B$24+Premissas!$B$63*Unitário!$B$25))-Premissas!$B$39)</f>
        <v>0</v>
      </c>
      <c r="K42" s="13" t="n">
        <f aca="false">IF($A42-(Premissas!$B$54+Premissas!$B$57)&gt;=1,INDEX($G$5:$G$94,$A42-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42" s="13" t="n">
        <f aca="false">IF($A42-(Premissas!$B$54+Premissas!$B$55)&gt;=1,INDEX($G$5:$G$94,$A42-(Premissas!$B$54+Premissas!$B$55)),0)*Unitário!$B$21*(Premissas!$B$51-(1-Premissas!$B$61)*Unitário!$B$24-(1-Premissas!$B$63)*Unitário!$B$25-(1-Premissas!$B$59)*Unitário!$B$22)</f>
        <v>0</v>
      </c>
      <c r="M42" s="13" t="n">
        <f aca="false">IF($A42-(Premissas!$B$56)&gt;=1,INDEX($H$5:$H$94,$A42-(Premissas!$B$56)),0)*(Premissas!$B$52-Unitário!$B$27)</f>
        <v>0</v>
      </c>
      <c r="N42" s="13" t="n">
        <f aca="false">-IF($A42-(Premissas!$B$60)&gt;=1,INDEX($H$5:$H$94,$A42-(Premissas!$B$60)),0)*(Premissas!$B$59*Unitário!$B$22+Premissas!$B$31)</f>
        <v>-0</v>
      </c>
      <c r="O42" s="13" t="n">
        <f aca="false">IF($A42-(Premissas!$B$54+Premissas!$B$57)&gt;=1,INDEX($H$5:$H$94,$A42-(Premissas!$B$54+Premissas!$B$57)),0)*Premissas!$B$27*(-Premissas!$B$52-Premissas!$B$41+Unitário!$B$27+(1-Premissas!$B$62)*Premissas!$B$31+Premissas!$B$59*Unitário!$B$22)</f>
        <v>-0</v>
      </c>
      <c r="P42" s="13" t="n">
        <f aca="false">-Premissas!$B$42*(IF($A42-(Premissas!$B$54+Premissas!$B$55)&gt;=1,INDEX($G$5:$G$94,$A42-(Premissas!$B$54+Premissas!$B$55)),0)*Unitário!$B$21*Premissas!$B$51+IF($A42-(Premissas!$B$56)&gt;=1,INDEX($H$5:$H$94,$A42-(Premissas!$B$56)),0)*(1-Premissas!$B$27)*Premissas!$B$52)</f>
        <v>-0</v>
      </c>
      <c r="Q42" s="13" t="n">
        <f aca="false">-IF(AND(DAY(B42+Premissas!$B$15)=Premissas!$B$16,B42+Premissas!$B$15&gt;=DATE(YEAR(Premissas!$B$11),MONTH(Premissas!$B$11)+1,Premissas!$B$16)),Premissas!$B$43,0)-IF(OR(E42&lt;0,F42&lt;0,IF(AND(DAY(B42+Premissas!$B$15)=Premissas!$B$16,B42+Premissas!$B$15&gt;=DATE(YEAR(Premissas!$B$11),MONTH(Premissas!$B$11)+1,Premissas!$B$16)),Premissas!$B$43,0)&gt;0),Premissas!$B$67*Premissas!$B$68,0)</f>
        <v>-0</v>
      </c>
      <c r="R42" s="13" t="n">
        <f aca="false">E42+F42+SUM(I42:Q42)</f>
        <v>0</v>
      </c>
      <c r="S42" s="13" t="n">
        <f aca="false">S41+R42</f>
        <v>1499.07771454867</v>
      </c>
      <c r="T42" s="16" t="n">
        <f aca="false">IF(AND($A42&gt;$B$100,S42&gt;=0),1,0)</f>
        <v>1</v>
      </c>
      <c r="U42" s="13" t="n">
        <f aca="false">S42-SUM($E$5:E42)-(1+Premissas!$B$17)*SUM($C$5:C42)</f>
        <v>1442.16271454867</v>
      </c>
      <c r="V42" s="13" t="n">
        <f aca="false">(G42+H42)*Premissas!$B$21</f>
        <v>0</v>
      </c>
      <c r="W42" s="16" t="n">
        <f aca="false">IF(V42&gt;0,DATE(YEAR(B42),MONTH(B42)+1,Premissas!$B$16)-Premissas!$B$11+1-Premissas!$B$15,0)</f>
        <v>0</v>
      </c>
      <c r="X42" s="13" t="n">
        <f aca="false">X41-Y41+C42*(1+Premissas!$B$17)</f>
        <v>56.915</v>
      </c>
      <c r="Y42" s="13" t="n">
        <f aca="false">IF(OR(X42&gt;=Premissas!$B$13,B42=DATE(YEAR(B42),MONTH(B42)+1,0)),X42,0)</f>
        <v>0</v>
      </c>
      <c r="Z42" s="13" t="n">
        <f aca="false">Z41-AA41+C42/Premissas!$B$18*Premissas!$B$20</f>
        <v>9</v>
      </c>
      <c r="AA42" s="13" t="n">
        <f aca="false">IF(OR(Z42&gt;=Premissas!$B$14,B42=DATE(YEAR(B42),MONTH(B42)+1,0)),Z42,0)</f>
        <v>0</v>
      </c>
      <c r="AB42" s="16" t="n">
        <f aca="false">IF(AA42&gt;0,IF(DAY(B42)&lt;=Premissas!$B$12,DATE(YEAR(B42),MONTH(B42),Premissas!$B$16),DATE(YEAR(B42),MONTH(B42)+1,Premissas!$B$16))-Premissas!$B$11+1-Premissas!$B$15,0)</f>
        <v>0</v>
      </c>
    </row>
    <row r="43" customFormat="false" ht="15" hidden="false" customHeight="true" outlineLevel="0" collapsed="false">
      <c r="A43" s="16" t="n">
        <v>39</v>
      </c>
      <c r="B43" s="31" t="n">
        <f aca="false">Premissas!$B$11+A43-1</f>
        <v>46356</v>
      </c>
      <c r="C43" s="13" t="n">
        <f aca="false">IF(A43&lt;=Premissas!$B$7,Premissas!$B$6/Premissas!$B$7,IF(A43&lt;=Premissas!$B$7+Premissas!$B$8,0,IF(A43&lt;=Premissas!$B$7+Premissas!$B$8+Premissas!$B$10,Premissas!$B$9/Premissas!$B$10,0)))</f>
        <v>0</v>
      </c>
      <c r="D43" s="16" t="n">
        <f aca="false">IF(Y43&gt;0,IF(DAY(B43)&lt;=Premissas!$B$12,DATE(YEAR(B43),MONTH(B43),Premissas!$B$16),DATE(YEAR(B43),MONTH(B43)+1,Premissas!$B$16))-Premissas!$B$11+1-Premissas!$B$15,0)</f>
        <v>66</v>
      </c>
      <c r="E43" s="13" t="n">
        <f aca="false">-SUMIF($D$5:$D$94,A43,$Y$5:$Y$94)</f>
        <v>-0</v>
      </c>
      <c r="F43" s="13" t="n">
        <f aca="false">-SUMIF($W$5:$W$94,A43,$V$5:$V$94)-SUMIF($AB$5:$AB$94,A43,$AA$5:$AA$94)</f>
        <v>-0</v>
      </c>
      <c r="G43" s="30" t="n">
        <f aca="false">C43/Premissas!$B$18*Premissas!$B$19*Premissas!$B$23</f>
        <v>0</v>
      </c>
      <c r="H43" s="30" t="n">
        <f aca="false">C43/Premissas!$B$18*Premissas!$B$19*Premissas!$B$24</f>
        <v>0</v>
      </c>
      <c r="I43" s="13" t="n">
        <f aca="false">-IF($A43-(Premissas!$B$60)&gt;=1,INDEX($G$5:$G$94,$A43-(Premissas!$B$60)),0)*(Premissas!$B$59*Unitário!$B$22+(Premissas!$B$61*Unitário!$B$24+Premissas!$B$63*Unitário!$B$25))</f>
        <v>-0</v>
      </c>
      <c r="J43" s="13" t="n">
        <f aca="false">IF($A43-(Premissas!$B$54)&gt;=1,INDEX($G$5:$G$94,$A43-(Premissas!$B$54)),0)*Premissas!$B$26*((Premissas!$B$59*Unitário!$B$22+(Premissas!$B$61*Unitário!$B$24+Premissas!$B$63*Unitário!$B$25))-Premissas!$B$39)</f>
        <v>0</v>
      </c>
      <c r="K43" s="13" t="n">
        <f aca="false">IF($A43-(Premissas!$B$54+Premissas!$B$57)&gt;=1,INDEX($G$5:$G$94,$A43-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43" s="13" t="n">
        <f aca="false">IF($A43-(Premissas!$B$54+Premissas!$B$55)&gt;=1,INDEX($G$5:$G$94,$A43-(Premissas!$B$54+Premissas!$B$55)),0)*Unitário!$B$21*(Premissas!$B$51-(1-Premissas!$B$61)*Unitário!$B$24-(1-Premissas!$B$63)*Unitário!$B$25-(1-Premissas!$B$59)*Unitário!$B$22)</f>
        <v>0</v>
      </c>
      <c r="M43" s="13" t="n">
        <f aca="false">IF($A43-(Premissas!$B$56)&gt;=1,INDEX($H$5:$H$94,$A43-(Premissas!$B$56)),0)*(Premissas!$B$52-Unitário!$B$27)</f>
        <v>0</v>
      </c>
      <c r="N43" s="13" t="n">
        <f aca="false">-IF($A43-(Premissas!$B$60)&gt;=1,INDEX($H$5:$H$94,$A43-(Premissas!$B$60)),0)*(Premissas!$B$59*Unitário!$B$22+Premissas!$B$31)</f>
        <v>-0</v>
      </c>
      <c r="O43" s="13" t="n">
        <f aca="false">IF($A43-(Premissas!$B$54+Premissas!$B$57)&gt;=1,INDEX($H$5:$H$94,$A43-(Premissas!$B$54+Premissas!$B$57)),0)*Premissas!$B$27*(-Premissas!$B$52-Premissas!$B$41+Unitário!$B$27+(1-Premissas!$B$62)*Premissas!$B$31+Premissas!$B$59*Unitário!$B$22)</f>
        <v>-0</v>
      </c>
      <c r="P43" s="13" t="n">
        <f aca="false">-Premissas!$B$42*(IF($A43-(Premissas!$B$54+Premissas!$B$55)&gt;=1,INDEX($G$5:$G$94,$A43-(Premissas!$B$54+Premissas!$B$55)),0)*Unitário!$B$21*Premissas!$B$51+IF($A43-(Premissas!$B$56)&gt;=1,INDEX($H$5:$H$94,$A43-(Premissas!$B$56)),0)*(1-Premissas!$B$27)*Premissas!$B$52)</f>
        <v>-0</v>
      </c>
      <c r="Q43" s="13" t="n">
        <f aca="false">-IF(AND(DAY(B43+Premissas!$B$15)=Premissas!$B$16,B43+Premissas!$B$15&gt;=DATE(YEAR(Premissas!$B$11),MONTH(Premissas!$B$11)+1,Premissas!$B$16)),Premissas!$B$43,0)-IF(OR(E43&lt;0,F43&lt;0,IF(AND(DAY(B43+Premissas!$B$15)=Premissas!$B$16,B43+Premissas!$B$15&gt;=DATE(YEAR(Premissas!$B$11),MONTH(Premissas!$B$11)+1,Premissas!$B$16)),Premissas!$B$43,0)&gt;0),Premissas!$B$67*Premissas!$B$68,0)</f>
        <v>-0</v>
      </c>
      <c r="R43" s="13" t="n">
        <f aca="false">E43+F43+SUM(I43:Q43)</f>
        <v>0</v>
      </c>
      <c r="S43" s="13" t="n">
        <f aca="false">S42+R43</f>
        <v>1499.07771454867</v>
      </c>
      <c r="T43" s="16" t="n">
        <f aca="false">IF(AND($A43&gt;$B$100,S43&gt;=0),1,0)</f>
        <v>1</v>
      </c>
      <c r="U43" s="13" t="n">
        <f aca="false">S43-SUM($E$5:E43)-(1+Premissas!$B$17)*SUM($C$5:C43)</f>
        <v>1442.16271454867</v>
      </c>
      <c r="V43" s="13" t="n">
        <f aca="false">(G43+H43)*Premissas!$B$21</f>
        <v>0</v>
      </c>
      <c r="W43" s="16" t="n">
        <f aca="false">IF(V43&gt;0,DATE(YEAR(B43),MONTH(B43)+1,Premissas!$B$16)-Premissas!$B$11+1-Premissas!$B$15,0)</f>
        <v>0</v>
      </c>
      <c r="X43" s="13" t="n">
        <f aca="false">X42-Y42+C43*(1+Premissas!$B$17)</f>
        <v>56.915</v>
      </c>
      <c r="Y43" s="13" t="n">
        <f aca="false">IF(OR(X43&gt;=Premissas!$B$13,B43=DATE(YEAR(B43),MONTH(B43)+1,0)),X43,0)</f>
        <v>56.915</v>
      </c>
      <c r="Z43" s="13" t="n">
        <f aca="false">Z42-AA42+C43/Premissas!$B$18*Premissas!$B$20</f>
        <v>9</v>
      </c>
      <c r="AA43" s="13" t="n">
        <f aca="false">IF(OR(Z43&gt;=Premissas!$B$14,B43=DATE(YEAR(B43),MONTH(B43)+1,0)),Z43,0)</f>
        <v>9</v>
      </c>
      <c r="AB43" s="16" t="n">
        <f aca="false">IF(AA43&gt;0,IF(DAY(B43)&lt;=Premissas!$B$12,DATE(YEAR(B43),MONTH(B43),Premissas!$B$16),DATE(YEAR(B43),MONTH(B43)+1,Premissas!$B$16))-Premissas!$B$11+1-Premissas!$B$15,0)</f>
        <v>66</v>
      </c>
    </row>
    <row r="44" customFormat="false" ht="15" hidden="false" customHeight="true" outlineLevel="0" collapsed="false">
      <c r="A44" s="16" t="n">
        <v>40</v>
      </c>
      <c r="B44" s="31" t="n">
        <f aca="false">Premissas!$B$11+A44-1</f>
        <v>46357</v>
      </c>
      <c r="C44" s="13" t="n">
        <f aca="false">IF(A44&lt;=Premissas!$B$7,Premissas!$B$6/Premissas!$B$7,IF(A44&lt;=Premissas!$B$7+Premissas!$B$8,0,IF(A44&lt;=Premissas!$B$7+Premissas!$B$8+Premissas!$B$10,Premissas!$B$9/Premissas!$B$10,0)))</f>
        <v>0</v>
      </c>
      <c r="D44" s="16" t="n">
        <f aca="false">IF(Y44&gt;0,IF(DAY(B44)&lt;=Premissas!$B$12,DATE(YEAR(B44),MONTH(B44),Premissas!$B$16),DATE(YEAR(B44),MONTH(B44)+1,Premissas!$B$16))-Premissas!$B$11+1-Premissas!$B$15,0)</f>
        <v>0</v>
      </c>
      <c r="E44" s="13" t="n">
        <f aca="false">-SUMIF($D$5:$D$94,A44,$Y$5:$Y$94)</f>
        <v>-0</v>
      </c>
      <c r="F44" s="13" t="n">
        <f aca="false">-SUMIF($W$5:$W$94,A44,$V$5:$V$94)-SUMIF($AB$5:$AB$94,A44,$AA$5:$AA$94)</f>
        <v>-0</v>
      </c>
      <c r="G44" s="30" t="n">
        <f aca="false">C44/Premissas!$B$18*Premissas!$B$19*Premissas!$B$23</f>
        <v>0</v>
      </c>
      <c r="H44" s="30" t="n">
        <f aca="false">C44/Premissas!$B$18*Premissas!$B$19*Premissas!$B$24</f>
        <v>0</v>
      </c>
      <c r="I44" s="13" t="n">
        <f aca="false">-IF($A44-(Premissas!$B$60)&gt;=1,INDEX($G$5:$G$94,$A44-(Premissas!$B$60)),0)*(Premissas!$B$59*Unitário!$B$22+(Premissas!$B$61*Unitário!$B$24+Premissas!$B$63*Unitário!$B$25))</f>
        <v>-0</v>
      </c>
      <c r="J44" s="13" t="n">
        <f aca="false">IF($A44-(Premissas!$B$54)&gt;=1,INDEX($G$5:$G$94,$A44-(Premissas!$B$54)),0)*Premissas!$B$26*((Premissas!$B$59*Unitário!$B$22+(Premissas!$B$61*Unitário!$B$24+Premissas!$B$63*Unitário!$B$25))-Premissas!$B$39)</f>
        <v>0</v>
      </c>
      <c r="K44" s="13" t="n">
        <f aca="false">IF($A44-(Premissas!$B$54+Premissas!$B$57)&gt;=1,INDEX($G$5:$G$94,$A44-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44" s="13" t="n">
        <f aca="false">IF($A44-(Premissas!$B$54+Premissas!$B$55)&gt;=1,INDEX($G$5:$G$94,$A44-(Premissas!$B$54+Premissas!$B$55)),0)*Unitário!$B$21*(Premissas!$B$51-(1-Premissas!$B$61)*Unitário!$B$24-(1-Premissas!$B$63)*Unitário!$B$25-(1-Premissas!$B$59)*Unitário!$B$22)</f>
        <v>0</v>
      </c>
      <c r="M44" s="13" t="n">
        <f aca="false">IF($A44-(Premissas!$B$56)&gt;=1,INDEX($H$5:$H$94,$A44-(Premissas!$B$56)),0)*(Premissas!$B$52-Unitário!$B$27)</f>
        <v>0</v>
      </c>
      <c r="N44" s="13" t="n">
        <f aca="false">-IF($A44-(Premissas!$B$60)&gt;=1,INDEX($H$5:$H$94,$A44-(Premissas!$B$60)),0)*(Premissas!$B$59*Unitário!$B$22+Premissas!$B$31)</f>
        <v>-0</v>
      </c>
      <c r="O44" s="13" t="n">
        <f aca="false">IF($A44-(Premissas!$B$54+Premissas!$B$57)&gt;=1,INDEX($H$5:$H$94,$A44-(Premissas!$B$54+Premissas!$B$57)),0)*Premissas!$B$27*(-Premissas!$B$52-Premissas!$B$41+Unitário!$B$27+(1-Premissas!$B$62)*Premissas!$B$31+Premissas!$B$59*Unitário!$B$22)</f>
        <v>-0</v>
      </c>
      <c r="P44" s="13" t="n">
        <f aca="false">-Premissas!$B$42*(IF($A44-(Premissas!$B$54+Premissas!$B$55)&gt;=1,INDEX($G$5:$G$94,$A44-(Premissas!$B$54+Premissas!$B$55)),0)*Unitário!$B$21*Premissas!$B$51+IF($A44-(Premissas!$B$56)&gt;=1,INDEX($H$5:$H$94,$A44-(Premissas!$B$56)),0)*(1-Premissas!$B$27)*Premissas!$B$52)</f>
        <v>-0</v>
      </c>
      <c r="Q44" s="13" t="n">
        <f aca="false">-IF(AND(DAY(B44+Premissas!$B$15)=Premissas!$B$16,B44+Premissas!$B$15&gt;=DATE(YEAR(Premissas!$B$11),MONTH(Premissas!$B$11)+1,Premissas!$B$16)),Premissas!$B$43,0)-IF(OR(E44&lt;0,F44&lt;0,IF(AND(DAY(B44+Premissas!$B$15)=Premissas!$B$16,B44+Premissas!$B$15&gt;=DATE(YEAR(Premissas!$B$11),MONTH(Premissas!$B$11)+1,Premissas!$B$16)),Premissas!$B$43,0)&gt;0),Premissas!$B$67*Premissas!$B$68,0)</f>
        <v>-0</v>
      </c>
      <c r="R44" s="13" t="n">
        <f aca="false">E44+F44+SUM(I44:Q44)</f>
        <v>0</v>
      </c>
      <c r="S44" s="13" t="n">
        <f aca="false">S43+R44</f>
        <v>1499.07771454867</v>
      </c>
      <c r="T44" s="16" t="n">
        <f aca="false">IF(AND($A44&gt;$B$100,S44&gt;=0),1,0)</f>
        <v>1</v>
      </c>
      <c r="U44" s="13" t="n">
        <f aca="false">S44-SUM($E$5:E44)-(1+Premissas!$B$17)*SUM($C$5:C44)</f>
        <v>1442.16271454867</v>
      </c>
      <c r="V44" s="13" t="n">
        <f aca="false">(G44+H44)*Premissas!$B$21</f>
        <v>0</v>
      </c>
      <c r="W44" s="16" t="n">
        <f aca="false">IF(V44&gt;0,DATE(YEAR(B44),MONTH(B44)+1,Premissas!$B$16)-Premissas!$B$11+1-Premissas!$B$15,0)</f>
        <v>0</v>
      </c>
      <c r="X44" s="13" t="n">
        <f aca="false">X43-Y43+C44*(1+Premissas!$B$17)</f>
        <v>0</v>
      </c>
      <c r="Y44" s="13" t="n">
        <f aca="false">IF(OR(X44&gt;=Premissas!$B$13,B44=DATE(YEAR(B44),MONTH(B44)+1,0)),X44,0)</f>
        <v>0</v>
      </c>
      <c r="Z44" s="13" t="n">
        <f aca="false">Z43-AA43+C44/Premissas!$B$18*Premissas!$B$20</f>
        <v>0</v>
      </c>
      <c r="AA44" s="13" t="n">
        <f aca="false">IF(OR(Z44&gt;=Premissas!$B$14,B44=DATE(YEAR(B44),MONTH(B44)+1,0)),Z44,0)</f>
        <v>0</v>
      </c>
      <c r="AB44" s="16" t="n">
        <f aca="false">IF(AA44&gt;0,IF(DAY(B44)&lt;=Premissas!$B$12,DATE(YEAR(B44),MONTH(B44),Premissas!$B$16),DATE(YEAR(B44),MONTH(B44)+1,Premissas!$B$16))-Premissas!$B$11+1-Premissas!$B$15,0)</f>
        <v>0</v>
      </c>
    </row>
    <row r="45" customFormat="false" ht="15" hidden="false" customHeight="true" outlineLevel="0" collapsed="false">
      <c r="A45" s="16" t="n">
        <v>41</v>
      </c>
      <c r="B45" s="31" t="n">
        <f aca="false">Premissas!$B$11+A45-1</f>
        <v>46358</v>
      </c>
      <c r="C45" s="13" t="n">
        <f aca="false">IF(A45&lt;=Premissas!$B$7,Premissas!$B$6/Premissas!$B$7,IF(A45&lt;=Premissas!$B$7+Premissas!$B$8,0,IF(A45&lt;=Premissas!$B$7+Premissas!$B$8+Premissas!$B$10,Premissas!$B$9/Premissas!$B$10,0)))</f>
        <v>0</v>
      </c>
      <c r="D45" s="16" t="n">
        <f aca="false">IF(Y45&gt;0,IF(DAY(B45)&lt;=Premissas!$B$12,DATE(YEAR(B45),MONTH(B45),Premissas!$B$16),DATE(YEAR(B45),MONTH(B45)+1,Premissas!$B$16))-Premissas!$B$11+1-Premissas!$B$15,0)</f>
        <v>0</v>
      </c>
      <c r="E45" s="13" t="n">
        <f aca="false">-SUMIF($D$5:$D$94,A45,$Y$5:$Y$94)</f>
        <v>-0</v>
      </c>
      <c r="F45" s="13" t="n">
        <f aca="false">-SUMIF($W$5:$W$94,A45,$V$5:$V$94)-SUMIF($AB$5:$AB$94,A45,$AA$5:$AA$94)</f>
        <v>-0</v>
      </c>
      <c r="G45" s="30" t="n">
        <f aca="false">C45/Premissas!$B$18*Premissas!$B$19*Premissas!$B$23</f>
        <v>0</v>
      </c>
      <c r="H45" s="30" t="n">
        <f aca="false">C45/Premissas!$B$18*Premissas!$B$19*Premissas!$B$24</f>
        <v>0</v>
      </c>
      <c r="I45" s="13" t="n">
        <f aca="false">-IF($A45-(Premissas!$B$60)&gt;=1,INDEX($G$5:$G$94,$A45-(Premissas!$B$60)),0)*(Premissas!$B$59*Unitário!$B$22+(Premissas!$B$61*Unitário!$B$24+Premissas!$B$63*Unitário!$B$25))</f>
        <v>-0</v>
      </c>
      <c r="J45" s="13" t="n">
        <f aca="false">IF($A45-(Premissas!$B$54)&gt;=1,INDEX($G$5:$G$94,$A45-(Premissas!$B$54)),0)*Premissas!$B$26*((Premissas!$B$59*Unitário!$B$22+(Premissas!$B$61*Unitário!$B$24+Premissas!$B$63*Unitário!$B$25))-Premissas!$B$39)</f>
        <v>0</v>
      </c>
      <c r="K45" s="13" t="n">
        <f aca="false">IF($A45-(Premissas!$B$54+Premissas!$B$57)&gt;=1,INDEX($G$5:$G$94,$A45-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45" s="13" t="n">
        <f aca="false">IF($A45-(Premissas!$B$54+Premissas!$B$55)&gt;=1,INDEX($G$5:$G$94,$A45-(Premissas!$B$54+Premissas!$B$55)),0)*Unitário!$B$21*(Premissas!$B$51-(1-Premissas!$B$61)*Unitário!$B$24-(1-Premissas!$B$63)*Unitário!$B$25-(1-Premissas!$B$59)*Unitário!$B$22)</f>
        <v>0</v>
      </c>
      <c r="M45" s="13" t="n">
        <f aca="false">IF($A45-(Premissas!$B$56)&gt;=1,INDEX($H$5:$H$94,$A45-(Premissas!$B$56)),0)*(Premissas!$B$52-Unitário!$B$27)</f>
        <v>0</v>
      </c>
      <c r="N45" s="13" t="n">
        <f aca="false">-IF($A45-(Premissas!$B$60)&gt;=1,INDEX($H$5:$H$94,$A45-(Premissas!$B$60)),0)*(Premissas!$B$59*Unitário!$B$22+Premissas!$B$31)</f>
        <v>-0</v>
      </c>
      <c r="O45" s="13" t="n">
        <f aca="false">IF($A45-(Premissas!$B$54+Premissas!$B$57)&gt;=1,INDEX($H$5:$H$94,$A45-(Premissas!$B$54+Premissas!$B$57)),0)*Premissas!$B$27*(-Premissas!$B$52-Premissas!$B$41+Unitário!$B$27+(1-Premissas!$B$62)*Premissas!$B$31+Premissas!$B$59*Unitário!$B$22)</f>
        <v>-0</v>
      </c>
      <c r="P45" s="13" t="n">
        <f aca="false">-Premissas!$B$42*(IF($A45-(Premissas!$B$54+Premissas!$B$55)&gt;=1,INDEX($G$5:$G$94,$A45-(Premissas!$B$54+Premissas!$B$55)),0)*Unitário!$B$21*Premissas!$B$51+IF($A45-(Premissas!$B$56)&gt;=1,INDEX($H$5:$H$94,$A45-(Premissas!$B$56)),0)*(1-Premissas!$B$27)*Premissas!$B$52)</f>
        <v>-0</v>
      </c>
      <c r="Q45" s="13" t="n">
        <f aca="false">-IF(AND(DAY(B45+Premissas!$B$15)=Premissas!$B$16,B45+Premissas!$B$15&gt;=DATE(YEAR(Premissas!$B$11),MONTH(Premissas!$B$11)+1,Premissas!$B$16)),Premissas!$B$43,0)-IF(OR(E45&lt;0,F45&lt;0,IF(AND(DAY(B45+Premissas!$B$15)=Premissas!$B$16,B45+Premissas!$B$15&gt;=DATE(YEAR(Premissas!$B$11),MONTH(Premissas!$B$11)+1,Premissas!$B$16)),Premissas!$B$43,0)&gt;0),Premissas!$B$67*Premissas!$B$68,0)</f>
        <v>-0</v>
      </c>
      <c r="R45" s="13" t="n">
        <f aca="false">E45+F45+SUM(I45:Q45)</f>
        <v>0</v>
      </c>
      <c r="S45" s="13" t="n">
        <f aca="false">S44+R45</f>
        <v>1499.07771454867</v>
      </c>
      <c r="T45" s="16" t="n">
        <f aca="false">IF(AND($A45&gt;$B$100,S45&gt;=0),1,0)</f>
        <v>1</v>
      </c>
      <c r="U45" s="13" t="n">
        <f aca="false">S45-SUM($E$5:E45)-(1+Premissas!$B$17)*SUM($C$5:C45)</f>
        <v>1442.16271454867</v>
      </c>
      <c r="V45" s="13" t="n">
        <f aca="false">(G45+H45)*Premissas!$B$21</f>
        <v>0</v>
      </c>
      <c r="W45" s="16" t="n">
        <f aca="false">IF(V45&gt;0,DATE(YEAR(B45),MONTH(B45)+1,Premissas!$B$16)-Premissas!$B$11+1-Premissas!$B$15,0)</f>
        <v>0</v>
      </c>
      <c r="X45" s="13" t="n">
        <f aca="false">X44-Y44+C45*(1+Premissas!$B$17)</f>
        <v>0</v>
      </c>
      <c r="Y45" s="13" t="n">
        <f aca="false">IF(OR(X45&gt;=Premissas!$B$13,B45=DATE(YEAR(B45),MONTH(B45)+1,0)),X45,0)</f>
        <v>0</v>
      </c>
      <c r="Z45" s="13" t="n">
        <f aca="false">Z44-AA44+C45/Premissas!$B$18*Premissas!$B$20</f>
        <v>0</v>
      </c>
      <c r="AA45" s="13" t="n">
        <f aca="false">IF(OR(Z45&gt;=Premissas!$B$14,B45=DATE(YEAR(B45),MONTH(B45)+1,0)),Z45,0)</f>
        <v>0</v>
      </c>
      <c r="AB45" s="16" t="n">
        <f aca="false">IF(AA45&gt;0,IF(DAY(B45)&lt;=Premissas!$B$12,DATE(YEAR(B45),MONTH(B45),Premissas!$B$16),DATE(YEAR(B45),MONTH(B45)+1,Premissas!$B$16))-Premissas!$B$11+1-Premissas!$B$15,0)</f>
        <v>0</v>
      </c>
    </row>
    <row r="46" customFormat="false" ht="15" hidden="false" customHeight="true" outlineLevel="0" collapsed="false">
      <c r="A46" s="16" t="n">
        <v>42</v>
      </c>
      <c r="B46" s="31" t="n">
        <f aca="false">Premissas!$B$11+A46-1</f>
        <v>46359</v>
      </c>
      <c r="C46" s="13" t="n">
        <f aca="false">IF(A46&lt;=Premissas!$B$7,Premissas!$B$6/Premissas!$B$7,IF(A46&lt;=Premissas!$B$7+Premissas!$B$8,0,IF(A46&lt;=Premissas!$B$7+Premissas!$B$8+Premissas!$B$10,Premissas!$B$9/Premissas!$B$10,0)))</f>
        <v>0</v>
      </c>
      <c r="D46" s="16" t="n">
        <f aca="false">IF(Y46&gt;0,IF(DAY(B46)&lt;=Premissas!$B$12,DATE(YEAR(B46),MONTH(B46),Premissas!$B$16),DATE(YEAR(B46),MONTH(B46)+1,Premissas!$B$16))-Premissas!$B$11+1-Premissas!$B$15,0)</f>
        <v>0</v>
      </c>
      <c r="E46" s="13" t="n">
        <f aca="false">-SUMIF($D$5:$D$94,A46,$Y$5:$Y$94)</f>
        <v>-0</v>
      </c>
      <c r="F46" s="13" t="n">
        <f aca="false">-SUMIF($W$5:$W$94,A46,$V$5:$V$94)-SUMIF($AB$5:$AB$94,A46,$AA$5:$AA$94)</f>
        <v>-0</v>
      </c>
      <c r="G46" s="30" t="n">
        <f aca="false">C46/Premissas!$B$18*Premissas!$B$19*Premissas!$B$23</f>
        <v>0</v>
      </c>
      <c r="H46" s="30" t="n">
        <f aca="false">C46/Premissas!$B$18*Premissas!$B$19*Premissas!$B$24</f>
        <v>0</v>
      </c>
      <c r="I46" s="13" t="n">
        <f aca="false">-IF($A46-(Premissas!$B$60)&gt;=1,INDEX($G$5:$G$94,$A46-(Premissas!$B$60)),0)*(Premissas!$B$59*Unitário!$B$22+(Premissas!$B$61*Unitário!$B$24+Premissas!$B$63*Unitário!$B$25))</f>
        <v>-0</v>
      </c>
      <c r="J46" s="13" t="n">
        <f aca="false">IF($A46-(Premissas!$B$54)&gt;=1,INDEX($G$5:$G$94,$A46-(Premissas!$B$54)),0)*Premissas!$B$26*((Premissas!$B$59*Unitário!$B$22+(Premissas!$B$61*Unitário!$B$24+Premissas!$B$63*Unitário!$B$25))-Premissas!$B$39)</f>
        <v>0</v>
      </c>
      <c r="K46" s="13" t="n">
        <f aca="false">IF($A46-(Premissas!$B$54+Premissas!$B$57)&gt;=1,INDEX($G$5:$G$94,$A46-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46" s="13" t="n">
        <f aca="false">IF($A46-(Premissas!$B$54+Premissas!$B$55)&gt;=1,INDEX($G$5:$G$94,$A46-(Premissas!$B$54+Premissas!$B$55)),0)*Unitário!$B$21*(Premissas!$B$51-(1-Premissas!$B$61)*Unitário!$B$24-(1-Premissas!$B$63)*Unitário!$B$25-(1-Premissas!$B$59)*Unitário!$B$22)</f>
        <v>0</v>
      </c>
      <c r="M46" s="13" t="n">
        <f aca="false">IF($A46-(Premissas!$B$56)&gt;=1,INDEX($H$5:$H$94,$A46-(Premissas!$B$56)),0)*(Premissas!$B$52-Unitário!$B$27)</f>
        <v>0</v>
      </c>
      <c r="N46" s="13" t="n">
        <f aca="false">-IF($A46-(Premissas!$B$60)&gt;=1,INDEX($H$5:$H$94,$A46-(Premissas!$B$60)),0)*(Premissas!$B$59*Unitário!$B$22+Premissas!$B$31)</f>
        <v>-0</v>
      </c>
      <c r="O46" s="13" t="n">
        <f aca="false">IF($A46-(Premissas!$B$54+Premissas!$B$57)&gt;=1,INDEX($H$5:$H$94,$A46-(Premissas!$B$54+Premissas!$B$57)),0)*Premissas!$B$27*(-Premissas!$B$52-Premissas!$B$41+Unitário!$B$27+(1-Premissas!$B$62)*Premissas!$B$31+Premissas!$B$59*Unitário!$B$22)</f>
        <v>-0</v>
      </c>
      <c r="P46" s="13" t="n">
        <f aca="false">-Premissas!$B$42*(IF($A46-(Premissas!$B$54+Premissas!$B$55)&gt;=1,INDEX($G$5:$G$94,$A46-(Premissas!$B$54+Premissas!$B$55)),0)*Unitário!$B$21*Premissas!$B$51+IF($A46-(Premissas!$B$56)&gt;=1,INDEX($H$5:$H$94,$A46-(Premissas!$B$56)),0)*(1-Premissas!$B$27)*Premissas!$B$52)</f>
        <v>-0</v>
      </c>
      <c r="Q46" s="13" t="n">
        <f aca="false">-IF(AND(DAY(B46+Premissas!$B$15)=Premissas!$B$16,B46+Premissas!$B$15&gt;=DATE(YEAR(Premissas!$B$11),MONTH(Premissas!$B$11)+1,Premissas!$B$16)),Premissas!$B$43,0)-IF(OR(E46&lt;0,F46&lt;0,IF(AND(DAY(B46+Premissas!$B$15)=Premissas!$B$16,B46+Premissas!$B$15&gt;=DATE(YEAR(Premissas!$B$11),MONTH(Premissas!$B$11)+1,Premissas!$B$16)),Premissas!$B$43,0)&gt;0),Premissas!$B$67*Premissas!$B$68,0)</f>
        <v>-0</v>
      </c>
      <c r="R46" s="13" t="n">
        <f aca="false">E46+F46+SUM(I46:Q46)</f>
        <v>0</v>
      </c>
      <c r="S46" s="13" t="n">
        <f aca="false">S45+R46</f>
        <v>1499.07771454867</v>
      </c>
      <c r="T46" s="16" t="n">
        <f aca="false">IF(AND($A46&gt;$B$100,S46&gt;=0),1,0)</f>
        <v>1</v>
      </c>
      <c r="U46" s="13" t="n">
        <f aca="false">S46-SUM($E$5:E46)-(1+Premissas!$B$17)*SUM($C$5:C46)</f>
        <v>1442.16271454867</v>
      </c>
      <c r="V46" s="13" t="n">
        <f aca="false">(G46+H46)*Premissas!$B$21</f>
        <v>0</v>
      </c>
      <c r="W46" s="16" t="n">
        <f aca="false">IF(V46&gt;0,DATE(YEAR(B46),MONTH(B46)+1,Premissas!$B$16)-Premissas!$B$11+1-Premissas!$B$15,0)</f>
        <v>0</v>
      </c>
      <c r="X46" s="13" t="n">
        <f aca="false">X45-Y45+C46*(1+Premissas!$B$17)</f>
        <v>0</v>
      </c>
      <c r="Y46" s="13" t="n">
        <f aca="false">IF(OR(X46&gt;=Premissas!$B$13,B46=DATE(YEAR(B46),MONTH(B46)+1,0)),X46,0)</f>
        <v>0</v>
      </c>
      <c r="Z46" s="13" t="n">
        <f aca="false">Z45-AA45+C46/Premissas!$B$18*Premissas!$B$20</f>
        <v>0</v>
      </c>
      <c r="AA46" s="13" t="n">
        <f aca="false">IF(OR(Z46&gt;=Premissas!$B$14,B46=DATE(YEAR(B46),MONTH(B46)+1,0)),Z46,0)</f>
        <v>0</v>
      </c>
      <c r="AB46" s="16" t="n">
        <f aca="false">IF(AA46&gt;0,IF(DAY(B46)&lt;=Premissas!$B$12,DATE(YEAR(B46),MONTH(B46),Premissas!$B$16),DATE(YEAR(B46),MONTH(B46)+1,Premissas!$B$16))-Premissas!$B$11+1-Premissas!$B$15,0)</f>
        <v>0</v>
      </c>
    </row>
    <row r="47" customFormat="false" ht="15" hidden="false" customHeight="true" outlineLevel="0" collapsed="false">
      <c r="A47" s="16" t="n">
        <v>43</v>
      </c>
      <c r="B47" s="31" t="n">
        <f aca="false">Premissas!$B$11+A47-1</f>
        <v>46360</v>
      </c>
      <c r="C47" s="13" t="n">
        <f aca="false">IF(A47&lt;=Premissas!$B$7,Premissas!$B$6/Premissas!$B$7,IF(A47&lt;=Premissas!$B$7+Premissas!$B$8,0,IF(A47&lt;=Premissas!$B$7+Premissas!$B$8+Premissas!$B$10,Premissas!$B$9/Premissas!$B$10,0)))</f>
        <v>0</v>
      </c>
      <c r="D47" s="16" t="n">
        <f aca="false">IF(Y47&gt;0,IF(DAY(B47)&lt;=Premissas!$B$12,DATE(YEAR(B47),MONTH(B47),Premissas!$B$16),DATE(YEAR(B47),MONTH(B47)+1,Premissas!$B$16))-Premissas!$B$11+1-Premissas!$B$15,0)</f>
        <v>0</v>
      </c>
      <c r="E47" s="13" t="n">
        <f aca="false">-SUMIF($D$5:$D$94,A47,$Y$5:$Y$94)</f>
        <v>-0</v>
      </c>
      <c r="F47" s="13" t="n">
        <f aca="false">-SUMIF($W$5:$W$94,A47,$V$5:$V$94)-SUMIF($AB$5:$AB$94,A47,$AA$5:$AA$94)</f>
        <v>-0</v>
      </c>
      <c r="G47" s="30" t="n">
        <f aca="false">C47/Premissas!$B$18*Premissas!$B$19*Premissas!$B$23</f>
        <v>0</v>
      </c>
      <c r="H47" s="30" t="n">
        <f aca="false">C47/Premissas!$B$18*Premissas!$B$19*Premissas!$B$24</f>
        <v>0</v>
      </c>
      <c r="I47" s="13" t="n">
        <f aca="false">-IF($A47-(Premissas!$B$60)&gt;=1,INDEX($G$5:$G$94,$A47-(Premissas!$B$60)),0)*(Premissas!$B$59*Unitário!$B$22+(Premissas!$B$61*Unitário!$B$24+Premissas!$B$63*Unitário!$B$25))</f>
        <v>-0</v>
      </c>
      <c r="J47" s="13" t="n">
        <f aca="false">IF($A47-(Premissas!$B$54)&gt;=1,INDEX($G$5:$G$94,$A47-(Premissas!$B$54)),0)*Premissas!$B$26*((Premissas!$B$59*Unitário!$B$22+(Premissas!$B$61*Unitário!$B$24+Premissas!$B$63*Unitário!$B$25))-Premissas!$B$39)</f>
        <v>0</v>
      </c>
      <c r="K47" s="13" t="n">
        <f aca="false">IF($A47-(Premissas!$B$54+Premissas!$B$57)&gt;=1,INDEX($G$5:$G$94,$A47-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47" s="13" t="n">
        <f aca="false">IF($A47-(Premissas!$B$54+Premissas!$B$55)&gt;=1,INDEX($G$5:$G$94,$A47-(Premissas!$B$54+Premissas!$B$55)),0)*Unitário!$B$21*(Premissas!$B$51-(1-Premissas!$B$61)*Unitário!$B$24-(1-Premissas!$B$63)*Unitário!$B$25-(1-Premissas!$B$59)*Unitário!$B$22)</f>
        <v>0</v>
      </c>
      <c r="M47" s="13" t="n">
        <f aca="false">IF($A47-(Premissas!$B$56)&gt;=1,INDEX($H$5:$H$94,$A47-(Premissas!$B$56)),0)*(Premissas!$B$52-Unitário!$B$27)</f>
        <v>0</v>
      </c>
      <c r="N47" s="13" t="n">
        <f aca="false">-IF($A47-(Premissas!$B$60)&gt;=1,INDEX($H$5:$H$94,$A47-(Premissas!$B$60)),0)*(Premissas!$B$59*Unitário!$B$22+Premissas!$B$31)</f>
        <v>-0</v>
      </c>
      <c r="O47" s="13" t="n">
        <f aca="false">IF($A47-(Premissas!$B$54+Premissas!$B$57)&gt;=1,INDEX($H$5:$H$94,$A47-(Premissas!$B$54+Premissas!$B$57)),0)*Premissas!$B$27*(-Premissas!$B$52-Premissas!$B$41+Unitário!$B$27+(1-Premissas!$B$62)*Premissas!$B$31+Premissas!$B$59*Unitário!$B$22)</f>
        <v>-0</v>
      </c>
      <c r="P47" s="13" t="n">
        <f aca="false">-Premissas!$B$42*(IF($A47-(Premissas!$B$54+Premissas!$B$55)&gt;=1,INDEX($G$5:$G$94,$A47-(Premissas!$B$54+Premissas!$B$55)),0)*Unitário!$B$21*Premissas!$B$51+IF($A47-(Premissas!$B$56)&gt;=1,INDEX($H$5:$H$94,$A47-(Premissas!$B$56)),0)*(1-Premissas!$B$27)*Premissas!$B$52)</f>
        <v>-0</v>
      </c>
      <c r="Q47" s="13" t="n">
        <f aca="false">-IF(AND(DAY(B47+Premissas!$B$15)=Premissas!$B$16,B47+Premissas!$B$15&gt;=DATE(YEAR(Premissas!$B$11),MONTH(Premissas!$B$11)+1,Premissas!$B$16)),Premissas!$B$43,0)-IF(OR(E47&lt;0,F47&lt;0,IF(AND(DAY(B47+Premissas!$B$15)=Premissas!$B$16,B47+Premissas!$B$15&gt;=DATE(YEAR(Premissas!$B$11),MONTH(Premissas!$B$11)+1,Premissas!$B$16)),Premissas!$B$43,0)&gt;0),Premissas!$B$67*Premissas!$B$68,0)</f>
        <v>-0</v>
      </c>
      <c r="R47" s="13" t="n">
        <f aca="false">E47+F47+SUM(I47:Q47)</f>
        <v>0</v>
      </c>
      <c r="S47" s="13" t="n">
        <f aca="false">S46+R47</f>
        <v>1499.07771454867</v>
      </c>
      <c r="T47" s="16" t="n">
        <f aca="false">IF(AND($A47&gt;$B$100,S47&gt;=0),1,0)</f>
        <v>1</v>
      </c>
      <c r="U47" s="13" t="n">
        <f aca="false">S47-SUM($E$5:E47)-(1+Premissas!$B$17)*SUM($C$5:C47)</f>
        <v>1442.16271454867</v>
      </c>
      <c r="V47" s="13" t="n">
        <f aca="false">(G47+H47)*Premissas!$B$21</f>
        <v>0</v>
      </c>
      <c r="W47" s="16" t="n">
        <f aca="false">IF(V47&gt;0,DATE(YEAR(B47),MONTH(B47)+1,Premissas!$B$16)-Premissas!$B$11+1-Premissas!$B$15,0)</f>
        <v>0</v>
      </c>
      <c r="X47" s="13" t="n">
        <f aca="false">X46-Y46+C47*(1+Premissas!$B$17)</f>
        <v>0</v>
      </c>
      <c r="Y47" s="13" t="n">
        <f aca="false">IF(OR(X47&gt;=Premissas!$B$13,B47=DATE(YEAR(B47),MONTH(B47)+1,0)),X47,0)</f>
        <v>0</v>
      </c>
      <c r="Z47" s="13" t="n">
        <f aca="false">Z46-AA46+C47/Premissas!$B$18*Premissas!$B$20</f>
        <v>0</v>
      </c>
      <c r="AA47" s="13" t="n">
        <f aca="false">IF(OR(Z47&gt;=Premissas!$B$14,B47=DATE(YEAR(B47),MONTH(B47)+1,0)),Z47,0)</f>
        <v>0</v>
      </c>
      <c r="AB47" s="16" t="n">
        <f aca="false">IF(AA47&gt;0,IF(DAY(B47)&lt;=Premissas!$B$12,DATE(YEAR(B47),MONTH(B47),Premissas!$B$16),DATE(YEAR(B47),MONTH(B47)+1,Premissas!$B$16))-Premissas!$B$11+1-Premissas!$B$15,0)</f>
        <v>0</v>
      </c>
    </row>
    <row r="48" customFormat="false" ht="15" hidden="false" customHeight="true" outlineLevel="0" collapsed="false">
      <c r="A48" s="16" t="n">
        <v>44</v>
      </c>
      <c r="B48" s="31" t="n">
        <f aca="false">Premissas!$B$11+A48-1</f>
        <v>46361</v>
      </c>
      <c r="C48" s="13" t="n">
        <f aca="false">IF(A48&lt;=Premissas!$B$7,Premissas!$B$6/Premissas!$B$7,IF(A48&lt;=Premissas!$B$7+Premissas!$B$8,0,IF(A48&lt;=Premissas!$B$7+Premissas!$B$8+Premissas!$B$10,Premissas!$B$9/Premissas!$B$10,0)))</f>
        <v>0</v>
      </c>
      <c r="D48" s="16" t="n">
        <f aca="false">IF(Y48&gt;0,IF(DAY(B48)&lt;=Premissas!$B$12,DATE(YEAR(B48),MONTH(B48),Premissas!$B$16),DATE(YEAR(B48),MONTH(B48)+1,Premissas!$B$16))-Premissas!$B$11+1-Premissas!$B$15,0)</f>
        <v>0</v>
      </c>
      <c r="E48" s="13" t="n">
        <f aca="false">-SUMIF($D$5:$D$94,A48,$Y$5:$Y$94)</f>
        <v>-0</v>
      </c>
      <c r="F48" s="13" t="n">
        <f aca="false">-SUMIF($W$5:$W$94,A48,$V$5:$V$94)-SUMIF($AB$5:$AB$94,A48,$AA$5:$AA$94)</f>
        <v>-0</v>
      </c>
      <c r="G48" s="30" t="n">
        <f aca="false">C48/Premissas!$B$18*Premissas!$B$19*Premissas!$B$23</f>
        <v>0</v>
      </c>
      <c r="H48" s="30" t="n">
        <f aca="false">C48/Premissas!$B$18*Premissas!$B$19*Premissas!$B$24</f>
        <v>0</v>
      </c>
      <c r="I48" s="13" t="n">
        <f aca="false">-IF($A48-(Premissas!$B$60)&gt;=1,INDEX($G$5:$G$94,$A48-(Premissas!$B$60)),0)*(Premissas!$B$59*Unitário!$B$22+(Premissas!$B$61*Unitário!$B$24+Premissas!$B$63*Unitário!$B$25))</f>
        <v>-0</v>
      </c>
      <c r="J48" s="13" t="n">
        <f aca="false">IF($A48-(Premissas!$B$54)&gt;=1,INDEX($G$5:$G$94,$A48-(Premissas!$B$54)),0)*Premissas!$B$26*((Premissas!$B$59*Unitário!$B$22+(Premissas!$B$61*Unitário!$B$24+Premissas!$B$63*Unitário!$B$25))-Premissas!$B$39)</f>
        <v>0</v>
      </c>
      <c r="K48" s="13" t="n">
        <f aca="false">IF($A48-(Premissas!$B$54+Premissas!$B$57)&gt;=1,INDEX($G$5:$G$94,$A48-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48" s="13" t="n">
        <f aca="false">IF($A48-(Premissas!$B$54+Premissas!$B$55)&gt;=1,INDEX($G$5:$G$94,$A48-(Premissas!$B$54+Premissas!$B$55)),0)*Unitário!$B$21*(Premissas!$B$51-(1-Premissas!$B$61)*Unitário!$B$24-(1-Premissas!$B$63)*Unitário!$B$25-(1-Premissas!$B$59)*Unitário!$B$22)</f>
        <v>0</v>
      </c>
      <c r="M48" s="13" t="n">
        <f aca="false">IF($A48-(Premissas!$B$56)&gt;=1,INDEX($H$5:$H$94,$A48-(Premissas!$B$56)),0)*(Premissas!$B$52-Unitário!$B$27)</f>
        <v>0</v>
      </c>
      <c r="N48" s="13" t="n">
        <f aca="false">-IF($A48-(Premissas!$B$60)&gt;=1,INDEX($H$5:$H$94,$A48-(Premissas!$B$60)),0)*(Premissas!$B$59*Unitário!$B$22+Premissas!$B$31)</f>
        <v>-0</v>
      </c>
      <c r="O48" s="13" t="n">
        <f aca="false">IF($A48-(Premissas!$B$54+Premissas!$B$57)&gt;=1,INDEX($H$5:$H$94,$A48-(Premissas!$B$54+Premissas!$B$57)),0)*Premissas!$B$27*(-Premissas!$B$52-Premissas!$B$41+Unitário!$B$27+(1-Premissas!$B$62)*Premissas!$B$31+Premissas!$B$59*Unitário!$B$22)</f>
        <v>-0</v>
      </c>
      <c r="P48" s="13" t="n">
        <f aca="false">-Premissas!$B$42*(IF($A48-(Premissas!$B$54+Premissas!$B$55)&gt;=1,INDEX($G$5:$G$94,$A48-(Premissas!$B$54+Premissas!$B$55)),0)*Unitário!$B$21*Premissas!$B$51+IF($A48-(Premissas!$B$56)&gt;=1,INDEX($H$5:$H$94,$A48-(Premissas!$B$56)),0)*(1-Premissas!$B$27)*Premissas!$B$52)</f>
        <v>-0</v>
      </c>
      <c r="Q48" s="13" t="n">
        <f aca="false">-IF(AND(DAY(B48+Premissas!$B$15)=Premissas!$B$16,B48+Premissas!$B$15&gt;=DATE(YEAR(Premissas!$B$11),MONTH(Premissas!$B$11)+1,Premissas!$B$16)),Premissas!$B$43,0)-IF(OR(E48&lt;0,F48&lt;0,IF(AND(DAY(B48+Premissas!$B$15)=Premissas!$B$16,B48+Premissas!$B$15&gt;=DATE(YEAR(Premissas!$B$11),MONTH(Premissas!$B$11)+1,Premissas!$B$16)),Premissas!$B$43,0)&gt;0),Premissas!$B$67*Premissas!$B$68,0)</f>
        <v>-0</v>
      </c>
      <c r="R48" s="13" t="n">
        <f aca="false">E48+F48+SUM(I48:Q48)</f>
        <v>0</v>
      </c>
      <c r="S48" s="13" t="n">
        <f aca="false">S47+R48</f>
        <v>1499.07771454867</v>
      </c>
      <c r="T48" s="16" t="n">
        <f aca="false">IF(AND($A48&gt;$B$100,S48&gt;=0),1,0)</f>
        <v>1</v>
      </c>
      <c r="U48" s="13" t="n">
        <f aca="false">S48-SUM($E$5:E48)-(1+Premissas!$B$17)*SUM($C$5:C48)</f>
        <v>1442.16271454867</v>
      </c>
      <c r="V48" s="13" t="n">
        <f aca="false">(G48+H48)*Premissas!$B$21</f>
        <v>0</v>
      </c>
      <c r="W48" s="16" t="n">
        <f aca="false">IF(V48&gt;0,DATE(YEAR(B48),MONTH(B48)+1,Premissas!$B$16)-Premissas!$B$11+1-Premissas!$B$15,0)</f>
        <v>0</v>
      </c>
      <c r="X48" s="13" t="n">
        <f aca="false">X47-Y47+C48*(1+Premissas!$B$17)</f>
        <v>0</v>
      </c>
      <c r="Y48" s="13" t="n">
        <f aca="false">IF(OR(X48&gt;=Premissas!$B$13,B48=DATE(YEAR(B48),MONTH(B48)+1,0)),X48,0)</f>
        <v>0</v>
      </c>
      <c r="Z48" s="13" t="n">
        <f aca="false">Z47-AA47+C48/Premissas!$B$18*Premissas!$B$20</f>
        <v>0</v>
      </c>
      <c r="AA48" s="13" t="n">
        <f aca="false">IF(OR(Z48&gt;=Premissas!$B$14,B48=DATE(YEAR(B48),MONTH(B48)+1,0)),Z48,0)</f>
        <v>0</v>
      </c>
      <c r="AB48" s="16" t="n">
        <f aca="false">IF(AA48&gt;0,IF(DAY(B48)&lt;=Premissas!$B$12,DATE(YEAR(B48),MONTH(B48),Premissas!$B$16),DATE(YEAR(B48),MONTH(B48)+1,Premissas!$B$16))-Premissas!$B$11+1-Premissas!$B$15,0)</f>
        <v>0</v>
      </c>
    </row>
    <row r="49" customFormat="false" ht="15" hidden="false" customHeight="true" outlineLevel="0" collapsed="false">
      <c r="A49" s="16" t="n">
        <v>45</v>
      </c>
      <c r="B49" s="31" t="n">
        <f aca="false">Premissas!$B$11+A49-1</f>
        <v>46362</v>
      </c>
      <c r="C49" s="13" t="n">
        <f aca="false">IF(A49&lt;=Premissas!$B$7,Premissas!$B$6/Premissas!$B$7,IF(A49&lt;=Premissas!$B$7+Premissas!$B$8,0,IF(A49&lt;=Premissas!$B$7+Premissas!$B$8+Premissas!$B$10,Premissas!$B$9/Premissas!$B$10,0)))</f>
        <v>0</v>
      </c>
      <c r="D49" s="16" t="n">
        <f aca="false">IF(Y49&gt;0,IF(DAY(B49)&lt;=Premissas!$B$12,DATE(YEAR(B49),MONTH(B49),Premissas!$B$16),DATE(YEAR(B49),MONTH(B49)+1,Premissas!$B$16))-Premissas!$B$11+1-Premissas!$B$15,0)</f>
        <v>0</v>
      </c>
      <c r="E49" s="13" t="n">
        <f aca="false">-SUMIF($D$5:$D$94,A49,$Y$5:$Y$94)</f>
        <v>-0</v>
      </c>
      <c r="F49" s="13" t="n">
        <f aca="false">-SUMIF($W$5:$W$94,A49,$V$5:$V$94)-SUMIF($AB$5:$AB$94,A49,$AA$5:$AA$94)</f>
        <v>-0</v>
      </c>
      <c r="G49" s="30" t="n">
        <f aca="false">C49/Premissas!$B$18*Premissas!$B$19*Premissas!$B$23</f>
        <v>0</v>
      </c>
      <c r="H49" s="30" t="n">
        <f aca="false">C49/Premissas!$B$18*Premissas!$B$19*Premissas!$B$24</f>
        <v>0</v>
      </c>
      <c r="I49" s="13" t="n">
        <f aca="false">-IF($A49-(Premissas!$B$60)&gt;=1,INDEX($G$5:$G$94,$A49-(Premissas!$B$60)),0)*(Premissas!$B$59*Unitário!$B$22+(Premissas!$B$61*Unitário!$B$24+Premissas!$B$63*Unitário!$B$25))</f>
        <v>-0</v>
      </c>
      <c r="J49" s="13" t="n">
        <f aca="false">IF($A49-(Premissas!$B$54)&gt;=1,INDEX($G$5:$G$94,$A49-(Premissas!$B$54)),0)*Premissas!$B$26*((Premissas!$B$59*Unitário!$B$22+(Premissas!$B$61*Unitário!$B$24+Premissas!$B$63*Unitário!$B$25))-Premissas!$B$39)</f>
        <v>0</v>
      </c>
      <c r="K49" s="13" t="n">
        <f aca="false">IF($A49-(Premissas!$B$54+Premissas!$B$57)&gt;=1,INDEX($G$5:$G$94,$A49-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49" s="13" t="n">
        <f aca="false">IF($A49-(Premissas!$B$54+Premissas!$B$55)&gt;=1,INDEX($G$5:$G$94,$A49-(Premissas!$B$54+Premissas!$B$55)),0)*Unitário!$B$21*(Premissas!$B$51-(1-Premissas!$B$61)*Unitário!$B$24-(1-Premissas!$B$63)*Unitário!$B$25-(1-Premissas!$B$59)*Unitário!$B$22)</f>
        <v>0</v>
      </c>
      <c r="M49" s="13" t="n">
        <f aca="false">IF($A49-(Premissas!$B$56)&gt;=1,INDEX($H$5:$H$94,$A49-(Premissas!$B$56)),0)*(Premissas!$B$52-Unitário!$B$27)</f>
        <v>0</v>
      </c>
      <c r="N49" s="13" t="n">
        <f aca="false">-IF($A49-(Premissas!$B$60)&gt;=1,INDEX($H$5:$H$94,$A49-(Premissas!$B$60)),0)*(Premissas!$B$59*Unitário!$B$22+Premissas!$B$31)</f>
        <v>-0</v>
      </c>
      <c r="O49" s="13" t="n">
        <f aca="false">IF($A49-(Premissas!$B$54+Premissas!$B$57)&gt;=1,INDEX($H$5:$H$94,$A49-(Premissas!$B$54+Premissas!$B$57)),0)*Premissas!$B$27*(-Premissas!$B$52-Premissas!$B$41+Unitário!$B$27+(1-Premissas!$B$62)*Premissas!$B$31+Premissas!$B$59*Unitário!$B$22)</f>
        <v>-0</v>
      </c>
      <c r="P49" s="13" t="n">
        <f aca="false">-Premissas!$B$42*(IF($A49-(Premissas!$B$54+Premissas!$B$55)&gt;=1,INDEX($G$5:$G$94,$A49-(Premissas!$B$54+Premissas!$B$55)),0)*Unitário!$B$21*Premissas!$B$51+IF($A49-(Premissas!$B$56)&gt;=1,INDEX($H$5:$H$94,$A49-(Premissas!$B$56)),0)*(1-Premissas!$B$27)*Premissas!$B$52)</f>
        <v>-0</v>
      </c>
      <c r="Q49" s="13" t="n">
        <f aca="false">-IF(AND(DAY(B49+Premissas!$B$15)=Premissas!$B$16,B49+Premissas!$B$15&gt;=DATE(YEAR(Premissas!$B$11),MONTH(Premissas!$B$11)+1,Premissas!$B$16)),Premissas!$B$43,0)-IF(OR(E49&lt;0,F49&lt;0,IF(AND(DAY(B49+Premissas!$B$15)=Premissas!$B$16,B49+Premissas!$B$15&gt;=DATE(YEAR(Premissas!$B$11),MONTH(Premissas!$B$11)+1,Premissas!$B$16)),Premissas!$B$43,0)&gt;0),Premissas!$B$67*Premissas!$B$68,0)</f>
        <v>-0</v>
      </c>
      <c r="R49" s="13" t="n">
        <f aca="false">E49+F49+SUM(I49:Q49)</f>
        <v>0</v>
      </c>
      <c r="S49" s="13" t="n">
        <f aca="false">S48+R49</f>
        <v>1499.07771454867</v>
      </c>
      <c r="T49" s="16" t="n">
        <f aca="false">IF(AND($A49&gt;$B$100,S49&gt;=0),1,0)</f>
        <v>1</v>
      </c>
      <c r="U49" s="13" t="n">
        <f aca="false">S49-SUM($E$5:E49)-(1+Premissas!$B$17)*SUM($C$5:C49)</f>
        <v>1442.16271454867</v>
      </c>
      <c r="V49" s="13" t="n">
        <f aca="false">(G49+H49)*Premissas!$B$21</f>
        <v>0</v>
      </c>
      <c r="W49" s="16" t="n">
        <f aca="false">IF(V49&gt;0,DATE(YEAR(B49),MONTH(B49)+1,Premissas!$B$16)-Premissas!$B$11+1-Premissas!$B$15,0)</f>
        <v>0</v>
      </c>
      <c r="X49" s="13" t="n">
        <f aca="false">X48-Y48+C49*(1+Premissas!$B$17)</f>
        <v>0</v>
      </c>
      <c r="Y49" s="13" t="n">
        <f aca="false">IF(OR(X49&gt;=Premissas!$B$13,B49=DATE(YEAR(B49),MONTH(B49)+1,0)),X49,0)</f>
        <v>0</v>
      </c>
      <c r="Z49" s="13" t="n">
        <f aca="false">Z48-AA48+C49/Premissas!$B$18*Premissas!$B$20</f>
        <v>0</v>
      </c>
      <c r="AA49" s="13" t="n">
        <f aca="false">IF(OR(Z49&gt;=Premissas!$B$14,B49=DATE(YEAR(B49),MONTH(B49)+1,0)),Z49,0)</f>
        <v>0</v>
      </c>
      <c r="AB49" s="16" t="n">
        <f aca="false">IF(AA49&gt;0,IF(DAY(B49)&lt;=Premissas!$B$12,DATE(YEAR(B49),MONTH(B49),Premissas!$B$16),DATE(YEAR(B49),MONTH(B49)+1,Premissas!$B$16))-Premissas!$B$11+1-Premissas!$B$15,0)</f>
        <v>0</v>
      </c>
    </row>
    <row r="50" customFormat="false" ht="15" hidden="false" customHeight="true" outlineLevel="0" collapsed="false">
      <c r="A50" s="16" t="n">
        <v>46</v>
      </c>
      <c r="B50" s="31" t="n">
        <f aca="false">Premissas!$B$11+A50-1</f>
        <v>46363</v>
      </c>
      <c r="C50" s="13" t="n">
        <f aca="false">IF(A50&lt;=Premissas!$B$7,Premissas!$B$6/Premissas!$B$7,IF(A50&lt;=Premissas!$B$7+Premissas!$B$8,0,IF(A50&lt;=Premissas!$B$7+Premissas!$B$8+Premissas!$B$10,Premissas!$B$9/Premissas!$B$10,0)))</f>
        <v>0</v>
      </c>
      <c r="D50" s="16" t="n">
        <f aca="false">IF(Y50&gt;0,IF(DAY(B50)&lt;=Premissas!$B$12,DATE(YEAR(B50),MONTH(B50),Premissas!$B$16),DATE(YEAR(B50),MONTH(B50)+1,Premissas!$B$16))-Premissas!$B$11+1-Premissas!$B$15,0)</f>
        <v>0</v>
      </c>
      <c r="E50" s="13" t="n">
        <f aca="false">-SUMIF($D$5:$D$94,A50,$Y$5:$Y$94)</f>
        <v>-0</v>
      </c>
      <c r="F50" s="13" t="n">
        <f aca="false">-SUMIF($W$5:$W$94,A50,$V$5:$V$94)-SUMIF($AB$5:$AB$94,A50,$AA$5:$AA$94)</f>
        <v>-0</v>
      </c>
      <c r="G50" s="30" t="n">
        <f aca="false">C50/Premissas!$B$18*Premissas!$B$19*Premissas!$B$23</f>
        <v>0</v>
      </c>
      <c r="H50" s="30" t="n">
        <f aca="false">C50/Premissas!$B$18*Premissas!$B$19*Premissas!$B$24</f>
        <v>0</v>
      </c>
      <c r="I50" s="13" t="n">
        <f aca="false">-IF($A50-(Premissas!$B$60)&gt;=1,INDEX($G$5:$G$94,$A50-(Premissas!$B$60)),0)*(Premissas!$B$59*Unitário!$B$22+(Premissas!$B$61*Unitário!$B$24+Premissas!$B$63*Unitário!$B$25))</f>
        <v>-0</v>
      </c>
      <c r="J50" s="13" t="n">
        <f aca="false">IF($A50-(Premissas!$B$54)&gt;=1,INDEX($G$5:$G$94,$A50-(Premissas!$B$54)),0)*Premissas!$B$26*((Premissas!$B$59*Unitário!$B$22+(Premissas!$B$61*Unitário!$B$24+Premissas!$B$63*Unitário!$B$25))-Premissas!$B$39)</f>
        <v>0</v>
      </c>
      <c r="K50" s="13" t="n">
        <f aca="false">IF($A50-(Premissas!$B$54+Premissas!$B$57)&gt;=1,INDEX($G$5:$G$94,$A50-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50" s="13" t="n">
        <f aca="false">IF($A50-(Premissas!$B$54+Premissas!$B$55)&gt;=1,INDEX($G$5:$G$94,$A50-(Premissas!$B$54+Premissas!$B$55)),0)*Unitário!$B$21*(Premissas!$B$51-(1-Premissas!$B$61)*Unitário!$B$24-(1-Premissas!$B$63)*Unitário!$B$25-(1-Premissas!$B$59)*Unitário!$B$22)</f>
        <v>0</v>
      </c>
      <c r="M50" s="13" t="n">
        <f aca="false">IF($A50-(Premissas!$B$56)&gt;=1,INDEX($H$5:$H$94,$A50-(Premissas!$B$56)),0)*(Premissas!$B$52-Unitário!$B$27)</f>
        <v>0</v>
      </c>
      <c r="N50" s="13" t="n">
        <f aca="false">-IF($A50-(Premissas!$B$60)&gt;=1,INDEX($H$5:$H$94,$A50-(Premissas!$B$60)),0)*(Premissas!$B$59*Unitário!$B$22+Premissas!$B$31)</f>
        <v>-0</v>
      </c>
      <c r="O50" s="13" t="n">
        <f aca="false">IF($A50-(Premissas!$B$54+Premissas!$B$57)&gt;=1,INDEX($H$5:$H$94,$A50-(Premissas!$B$54+Premissas!$B$57)),0)*Premissas!$B$27*(-Premissas!$B$52-Premissas!$B$41+Unitário!$B$27+(1-Premissas!$B$62)*Premissas!$B$31+Premissas!$B$59*Unitário!$B$22)</f>
        <v>-0</v>
      </c>
      <c r="P50" s="13" t="n">
        <f aca="false">-Premissas!$B$42*(IF($A50-(Premissas!$B$54+Premissas!$B$55)&gt;=1,INDEX($G$5:$G$94,$A50-(Premissas!$B$54+Premissas!$B$55)),0)*Unitário!$B$21*Premissas!$B$51+IF($A50-(Premissas!$B$56)&gt;=1,INDEX($H$5:$H$94,$A50-(Premissas!$B$56)),0)*(1-Premissas!$B$27)*Premissas!$B$52)</f>
        <v>-0</v>
      </c>
      <c r="Q50" s="13" t="n">
        <f aca="false">-IF(AND(DAY(B50+Premissas!$B$15)=Premissas!$B$16,B50+Premissas!$B$15&gt;=DATE(YEAR(Premissas!$B$11),MONTH(Premissas!$B$11)+1,Premissas!$B$16)),Premissas!$B$43,0)-IF(OR(E50&lt;0,F50&lt;0,IF(AND(DAY(B50+Premissas!$B$15)=Premissas!$B$16,B50+Premissas!$B$15&gt;=DATE(YEAR(Premissas!$B$11),MONTH(Premissas!$B$11)+1,Premissas!$B$16)),Premissas!$B$43,0)&gt;0),Premissas!$B$67*Premissas!$B$68,0)</f>
        <v>-0</v>
      </c>
      <c r="R50" s="13" t="n">
        <f aca="false">E50+F50+SUM(I50:Q50)</f>
        <v>0</v>
      </c>
      <c r="S50" s="13" t="n">
        <f aca="false">S49+R50</f>
        <v>1499.07771454867</v>
      </c>
      <c r="T50" s="16" t="n">
        <f aca="false">IF(AND($A50&gt;$B$100,S50&gt;=0),1,0)</f>
        <v>1</v>
      </c>
      <c r="U50" s="13" t="n">
        <f aca="false">S50-SUM($E$5:E50)-(1+Premissas!$B$17)*SUM($C$5:C50)</f>
        <v>1442.16271454867</v>
      </c>
      <c r="V50" s="13" t="n">
        <f aca="false">(G50+H50)*Premissas!$B$21</f>
        <v>0</v>
      </c>
      <c r="W50" s="16" t="n">
        <f aca="false">IF(V50&gt;0,DATE(YEAR(B50),MONTH(B50)+1,Premissas!$B$16)-Premissas!$B$11+1-Premissas!$B$15,0)</f>
        <v>0</v>
      </c>
      <c r="X50" s="13" t="n">
        <f aca="false">X49-Y49+C50*(1+Premissas!$B$17)</f>
        <v>0</v>
      </c>
      <c r="Y50" s="13" t="n">
        <f aca="false">IF(OR(X50&gt;=Premissas!$B$13,B50=DATE(YEAR(B50),MONTH(B50)+1,0)),X50,0)</f>
        <v>0</v>
      </c>
      <c r="Z50" s="13" t="n">
        <f aca="false">Z49-AA49+C50/Premissas!$B$18*Premissas!$B$20</f>
        <v>0</v>
      </c>
      <c r="AA50" s="13" t="n">
        <f aca="false">IF(OR(Z50&gt;=Premissas!$B$14,B50=DATE(YEAR(B50),MONTH(B50)+1,0)),Z50,0)</f>
        <v>0</v>
      </c>
      <c r="AB50" s="16" t="n">
        <f aca="false">IF(AA50&gt;0,IF(DAY(B50)&lt;=Premissas!$B$12,DATE(YEAR(B50),MONTH(B50),Premissas!$B$16),DATE(YEAR(B50),MONTH(B50)+1,Premissas!$B$16))-Premissas!$B$11+1-Premissas!$B$15,0)</f>
        <v>0</v>
      </c>
    </row>
    <row r="51" customFormat="false" ht="15" hidden="false" customHeight="true" outlineLevel="0" collapsed="false">
      <c r="A51" s="16" t="n">
        <v>47</v>
      </c>
      <c r="B51" s="31" t="n">
        <f aca="false">Premissas!$B$11+A51-1</f>
        <v>46364</v>
      </c>
      <c r="C51" s="13" t="n">
        <f aca="false">IF(A51&lt;=Premissas!$B$7,Premissas!$B$6/Premissas!$B$7,IF(A51&lt;=Premissas!$B$7+Premissas!$B$8,0,IF(A51&lt;=Premissas!$B$7+Premissas!$B$8+Premissas!$B$10,Premissas!$B$9/Premissas!$B$10,0)))</f>
        <v>0</v>
      </c>
      <c r="D51" s="16" t="n">
        <f aca="false">IF(Y51&gt;0,IF(DAY(B51)&lt;=Premissas!$B$12,DATE(YEAR(B51),MONTH(B51),Premissas!$B$16),DATE(YEAR(B51),MONTH(B51)+1,Premissas!$B$16))-Premissas!$B$11+1-Premissas!$B$15,0)</f>
        <v>0</v>
      </c>
      <c r="E51" s="13" t="n">
        <f aca="false">-SUMIF($D$5:$D$94,A51,$Y$5:$Y$94)</f>
        <v>-0</v>
      </c>
      <c r="F51" s="13" t="n">
        <f aca="false">-SUMIF($W$5:$W$94,A51,$V$5:$V$94)-SUMIF($AB$5:$AB$94,A51,$AA$5:$AA$94)</f>
        <v>-0</v>
      </c>
      <c r="G51" s="30" t="n">
        <f aca="false">C51/Premissas!$B$18*Premissas!$B$19*Premissas!$B$23</f>
        <v>0</v>
      </c>
      <c r="H51" s="30" t="n">
        <f aca="false">C51/Premissas!$B$18*Premissas!$B$19*Premissas!$B$24</f>
        <v>0</v>
      </c>
      <c r="I51" s="13" t="n">
        <f aca="false">-IF($A51-(Premissas!$B$60)&gt;=1,INDEX($G$5:$G$94,$A51-(Premissas!$B$60)),0)*(Premissas!$B$59*Unitário!$B$22+(Premissas!$B$61*Unitário!$B$24+Premissas!$B$63*Unitário!$B$25))</f>
        <v>-0</v>
      </c>
      <c r="J51" s="13" t="n">
        <f aca="false">IF($A51-(Premissas!$B$54)&gt;=1,INDEX($G$5:$G$94,$A51-(Premissas!$B$54)),0)*Premissas!$B$26*((Premissas!$B$59*Unitário!$B$22+(Premissas!$B$61*Unitário!$B$24+Premissas!$B$63*Unitário!$B$25))-Premissas!$B$39)</f>
        <v>0</v>
      </c>
      <c r="K51" s="13" t="n">
        <f aca="false">IF($A51-(Premissas!$B$54+Premissas!$B$57)&gt;=1,INDEX($G$5:$G$94,$A51-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51" s="13" t="n">
        <f aca="false">IF($A51-(Premissas!$B$54+Premissas!$B$55)&gt;=1,INDEX($G$5:$G$94,$A51-(Premissas!$B$54+Premissas!$B$55)),0)*Unitário!$B$21*(Premissas!$B$51-(1-Premissas!$B$61)*Unitário!$B$24-(1-Premissas!$B$63)*Unitário!$B$25-(1-Premissas!$B$59)*Unitário!$B$22)</f>
        <v>0</v>
      </c>
      <c r="M51" s="13" t="n">
        <f aca="false">IF($A51-(Premissas!$B$56)&gt;=1,INDEX($H$5:$H$94,$A51-(Premissas!$B$56)),0)*(Premissas!$B$52-Unitário!$B$27)</f>
        <v>0</v>
      </c>
      <c r="N51" s="13" t="n">
        <f aca="false">-IF($A51-(Premissas!$B$60)&gt;=1,INDEX($H$5:$H$94,$A51-(Premissas!$B$60)),0)*(Premissas!$B$59*Unitário!$B$22+Premissas!$B$31)</f>
        <v>-0</v>
      </c>
      <c r="O51" s="13" t="n">
        <f aca="false">IF($A51-(Premissas!$B$54+Premissas!$B$57)&gt;=1,INDEX($H$5:$H$94,$A51-(Premissas!$B$54+Premissas!$B$57)),0)*Premissas!$B$27*(-Premissas!$B$52-Premissas!$B$41+Unitário!$B$27+(1-Premissas!$B$62)*Premissas!$B$31+Premissas!$B$59*Unitário!$B$22)</f>
        <v>-0</v>
      </c>
      <c r="P51" s="13" t="n">
        <f aca="false">-Premissas!$B$42*(IF($A51-(Premissas!$B$54+Premissas!$B$55)&gt;=1,INDEX($G$5:$G$94,$A51-(Premissas!$B$54+Premissas!$B$55)),0)*Unitário!$B$21*Premissas!$B$51+IF($A51-(Premissas!$B$56)&gt;=1,INDEX($H$5:$H$94,$A51-(Premissas!$B$56)),0)*(1-Premissas!$B$27)*Premissas!$B$52)</f>
        <v>-0</v>
      </c>
      <c r="Q51" s="13" t="n">
        <f aca="false">-IF(AND(DAY(B51+Premissas!$B$15)=Premissas!$B$16,B51+Premissas!$B$15&gt;=DATE(YEAR(Premissas!$B$11),MONTH(Premissas!$B$11)+1,Premissas!$B$16)),Premissas!$B$43,0)-IF(OR(E51&lt;0,F51&lt;0,IF(AND(DAY(B51+Premissas!$B$15)=Premissas!$B$16,B51+Premissas!$B$15&gt;=DATE(YEAR(Premissas!$B$11),MONTH(Premissas!$B$11)+1,Premissas!$B$16)),Premissas!$B$43,0)&gt;0),Premissas!$B$67*Premissas!$B$68,0)</f>
        <v>-0</v>
      </c>
      <c r="R51" s="13" t="n">
        <f aca="false">E51+F51+SUM(I51:Q51)</f>
        <v>0</v>
      </c>
      <c r="S51" s="13" t="n">
        <f aca="false">S50+R51</f>
        <v>1499.07771454867</v>
      </c>
      <c r="T51" s="16" t="n">
        <f aca="false">IF(AND($A51&gt;$B$100,S51&gt;=0),1,0)</f>
        <v>1</v>
      </c>
      <c r="U51" s="13" t="n">
        <f aca="false">S51-SUM($E$5:E51)-(1+Premissas!$B$17)*SUM($C$5:C51)</f>
        <v>1442.16271454867</v>
      </c>
      <c r="V51" s="13" t="n">
        <f aca="false">(G51+H51)*Premissas!$B$21</f>
        <v>0</v>
      </c>
      <c r="W51" s="16" t="n">
        <f aca="false">IF(V51&gt;0,DATE(YEAR(B51),MONTH(B51)+1,Premissas!$B$16)-Premissas!$B$11+1-Premissas!$B$15,0)</f>
        <v>0</v>
      </c>
      <c r="X51" s="13" t="n">
        <f aca="false">X50-Y50+C51*(1+Premissas!$B$17)</f>
        <v>0</v>
      </c>
      <c r="Y51" s="13" t="n">
        <f aca="false">IF(OR(X51&gt;=Premissas!$B$13,B51=DATE(YEAR(B51),MONTH(B51)+1,0)),X51,0)</f>
        <v>0</v>
      </c>
      <c r="Z51" s="13" t="n">
        <f aca="false">Z50-AA50+C51/Premissas!$B$18*Premissas!$B$20</f>
        <v>0</v>
      </c>
      <c r="AA51" s="13" t="n">
        <f aca="false">IF(OR(Z51&gt;=Premissas!$B$14,B51=DATE(YEAR(B51),MONTH(B51)+1,0)),Z51,0)</f>
        <v>0</v>
      </c>
      <c r="AB51" s="16" t="n">
        <f aca="false">IF(AA51&gt;0,IF(DAY(B51)&lt;=Premissas!$B$12,DATE(YEAR(B51),MONTH(B51),Premissas!$B$16),DATE(YEAR(B51),MONTH(B51)+1,Premissas!$B$16))-Premissas!$B$11+1-Premissas!$B$15,0)</f>
        <v>0</v>
      </c>
    </row>
    <row r="52" customFormat="false" ht="15" hidden="false" customHeight="true" outlineLevel="0" collapsed="false">
      <c r="A52" s="16" t="n">
        <v>48</v>
      </c>
      <c r="B52" s="31" t="n">
        <f aca="false">Premissas!$B$11+A52-1</f>
        <v>46365</v>
      </c>
      <c r="C52" s="13" t="n">
        <f aca="false">IF(A52&lt;=Premissas!$B$7,Premissas!$B$6/Premissas!$B$7,IF(A52&lt;=Premissas!$B$7+Premissas!$B$8,0,IF(A52&lt;=Premissas!$B$7+Premissas!$B$8+Premissas!$B$10,Premissas!$B$9/Premissas!$B$10,0)))</f>
        <v>0</v>
      </c>
      <c r="D52" s="16" t="n">
        <f aca="false">IF(Y52&gt;0,IF(DAY(B52)&lt;=Premissas!$B$12,DATE(YEAR(B52),MONTH(B52),Premissas!$B$16),DATE(YEAR(B52),MONTH(B52)+1,Premissas!$B$16))-Premissas!$B$11+1-Premissas!$B$15,0)</f>
        <v>0</v>
      </c>
      <c r="E52" s="13" t="n">
        <f aca="false">-SUMIF($D$5:$D$94,A52,$Y$5:$Y$94)</f>
        <v>-0</v>
      </c>
      <c r="F52" s="13" t="n">
        <f aca="false">-SUMIF($W$5:$W$94,A52,$V$5:$V$94)-SUMIF($AB$5:$AB$94,A52,$AA$5:$AA$94)</f>
        <v>-0</v>
      </c>
      <c r="G52" s="30" t="n">
        <f aca="false">C52/Premissas!$B$18*Premissas!$B$19*Premissas!$B$23</f>
        <v>0</v>
      </c>
      <c r="H52" s="30" t="n">
        <f aca="false">C52/Premissas!$B$18*Premissas!$B$19*Premissas!$B$24</f>
        <v>0</v>
      </c>
      <c r="I52" s="13" t="n">
        <f aca="false">-IF($A52-(Premissas!$B$60)&gt;=1,INDEX($G$5:$G$94,$A52-(Premissas!$B$60)),0)*(Premissas!$B$59*Unitário!$B$22+(Premissas!$B$61*Unitário!$B$24+Premissas!$B$63*Unitário!$B$25))</f>
        <v>-0</v>
      </c>
      <c r="J52" s="13" t="n">
        <f aca="false">IF($A52-(Premissas!$B$54)&gt;=1,INDEX($G$5:$G$94,$A52-(Premissas!$B$54)),0)*Premissas!$B$26*((Premissas!$B$59*Unitário!$B$22+(Premissas!$B$61*Unitário!$B$24+Premissas!$B$63*Unitário!$B$25))-Premissas!$B$39)</f>
        <v>0</v>
      </c>
      <c r="K52" s="13" t="n">
        <f aca="false">IF($A52-(Premissas!$B$54+Premissas!$B$57)&gt;=1,INDEX($G$5:$G$94,$A52-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52" s="13" t="n">
        <f aca="false">IF($A52-(Premissas!$B$54+Premissas!$B$55)&gt;=1,INDEX($G$5:$G$94,$A52-(Premissas!$B$54+Premissas!$B$55)),0)*Unitário!$B$21*(Premissas!$B$51-(1-Premissas!$B$61)*Unitário!$B$24-(1-Premissas!$B$63)*Unitário!$B$25-(1-Premissas!$B$59)*Unitário!$B$22)</f>
        <v>0</v>
      </c>
      <c r="M52" s="13" t="n">
        <f aca="false">IF($A52-(Premissas!$B$56)&gt;=1,INDEX($H$5:$H$94,$A52-(Premissas!$B$56)),0)*(Premissas!$B$52-Unitário!$B$27)</f>
        <v>0</v>
      </c>
      <c r="N52" s="13" t="n">
        <f aca="false">-IF($A52-(Premissas!$B$60)&gt;=1,INDEX($H$5:$H$94,$A52-(Premissas!$B$60)),0)*(Premissas!$B$59*Unitário!$B$22+Premissas!$B$31)</f>
        <v>-0</v>
      </c>
      <c r="O52" s="13" t="n">
        <f aca="false">IF($A52-(Premissas!$B$54+Premissas!$B$57)&gt;=1,INDEX($H$5:$H$94,$A52-(Premissas!$B$54+Premissas!$B$57)),0)*Premissas!$B$27*(-Premissas!$B$52-Premissas!$B$41+Unitário!$B$27+(1-Premissas!$B$62)*Premissas!$B$31+Premissas!$B$59*Unitário!$B$22)</f>
        <v>-0</v>
      </c>
      <c r="P52" s="13" t="n">
        <f aca="false">-Premissas!$B$42*(IF($A52-(Premissas!$B$54+Premissas!$B$55)&gt;=1,INDEX($G$5:$G$94,$A52-(Premissas!$B$54+Premissas!$B$55)),0)*Unitário!$B$21*Premissas!$B$51+IF($A52-(Premissas!$B$56)&gt;=1,INDEX($H$5:$H$94,$A52-(Premissas!$B$56)),0)*(1-Premissas!$B$27)*Premissas!$B$52)</f>
        <v>-0</v>
      </c>
      <c r="Q52" s="13" t="n">
        <f aca="false">-IF(AND(DAY(B52+Premissas!$B$15)=Premissas!$B$16,B52+Premissas!$B$15&gt;=DATE(YEAR(Premissas!$B$11),MONTH(Premissas!$B$11)+1,Premissas!$B$16)),Premissas!$B$43,0)-IF(OR(E52&lt;0,F52&lt;0,IF(AND(DAY(B52+Premissas!$B$15)=Premissas!$B$16,B52+Premissas!$B$15&gt;=DATE(YEAR(Premissas!$B$11),MONTH(Premissas!$B$11)+1,Premissas!$B$16)),Premissas!$B$43,0)&gt;0),Premissas!$B$67*Premissas!$B$68,0)</f>
        <v>-0</v>
      </c>
      <c r="R52" s="13" t="n">
        <f aca="false">E52+F52+SUM(I52:Q52)</f>
        <v>0</v>
      </c>
      <c r="S52" s="13" t="n">
        <f aca="false">S51+R52</f>
        <v>1499.07771454867</v>
      </c>
      <c r="T52" s="16" t="n">
        <f aca="false">IF(AND($A52&gt;$B$100,S52&gt;=0),1,0)</f>
        <v>1</v>
      </c>
      <c r="U52" s="13" t="n">
        <f aca="false">S52-SUM($E$5:E52)-(1+Premissas!$B$17)*SUM($C$5:C52)</f>
        <v>1442.16271454867</v>
      </c>
      <c r="V52" s="13" t="n">
        <f aca="false">(G52+H52)*Premissas!$B$21</f>
        <v>0</v>
      </c>
      <c r="W52" s="16" t="n">
        <f aca="false">IF(V52&gt;0,DATE(YEAR(B52),MONTH(B52)+1,Premissas!$B$16)-Premissas!$B$11+1-Premissas!$B$15,0)</f>
        <v>0</v>
      </c>
      <c r="X52" s="13" t="n">
        <f aca="false">X51-Y51+C52*(1+Premissas!$B$17)</f>
        <v>0</v>
      </c>
      <c r="Y52" s="13" t="n">
        <f aca="false">IF(OR(X52&gt;=Premissas!$B$13,B52=DATE(YEAR(B52),MONTH(B52)+1,0)),X52,0)</f>
        <v>0</v>
      </c>
      <c r="Z52" s="13" t="n">
        <f aca="false">Z51-AA51+C52/Premissas!$B$18*Premissas!$B$20</f>
        <v>0</v>
      </c>
      <c r="AA52" s="13" t="n">
        <f aca="false">IF(OR(Z52&gt;=Premissas!$B$14,B52=DATE(YEAR(B52),MONTH(B52)+1,0)),Z52,0)</f>
        <v>0</v>
      </c>
      <c r="AB52" s="16" t="n">
        <f aca="false">IF(AA52&gt;0,IF(DAY(B52)&lt;=Premissas!$B$12,DATE(YEAR(B52),MONTH(B52),Premissas!$B$16),DATE(YEAR(B52),MONTH(B52)+1,Premissas!$B$16))-Premissas!$B$11+1-Premissas!$B$15,0)</f>
        <v>0</v>
      </c>
    </row>
    <row r="53" customFormat="false" ht="15" hidden="false" customHeight="true" outlineLevel="0" collapsed="false">
      <c r="A53" s="16" t="n">
        <v>49</v>
      </c>
      <c r="B53" s="31" t="n">
        <f aca="false">Premissas!$B$11+A53-1</f>
        <v>46366</v>
      </c>
      <c r="C53" s="13" t="n">
        <f aca="false">IF(A53&lt;=Premissas!$B$7,Premissas!$B$6/Premissas!$B$7,IF(A53&lt;=Premissas!$B$7+Premissas!$B$8,0,IF(A53&lt;=Premissas!$B$7+Premissas!$B$8+Premissas!$B$10,Premissas!$B$9/Premissas!$B$10,0)))</f>
        <v>0</v>
      </c>
      <c r="D53" s="16" t="n">
        <f aca="false">IF(Y53&gt;0,IF(DAY(B53)&lt;=Premissas!$B$12,DATE(YEAR(B53),MONTH(B53),Premissas!$B$16),DATE(YEAR(B53),MONTH(B53)+1,Premissas!$B$16))-Premissas!$B$11+1-Premissas!$B$15,0)</f>
        <v>0</v>
      </c>
      <c r="E53" s="13" t="n">
        <f aca="false">-SUMIF($D$5:$D$94,A53,$Y$5:$Y$94)</f>
        <v>-0</v>
      </c>
      <c r="F53" s="13" t="n">
        <f aca="false">-SUMIF($W$5:$W$94,A53,$V$5:$V$94)-SUMIF($AB$5:$AB$94,A53,$AA$5:$AA$94)</f>
        <v>-0</v>
      </c>
      <c r="G53" s="30" t="n">
        <f aca="false">C53/Premissas!$B$18*Premissas!$B$19*Premissas!$B$23</f>
        <v>0</v>
      </c>
      <c r="H53" s="30" t="n">
        <f aca="false">C53/Premissas!$B$18*Premissas!$B$19*Premissas!$B$24</f>
        <v>0</v>
      </c>
      <c r="I53" s="13" t="n">
        <f aca="false">-IF($A53-(Premissas!$B$60)&gt;=1,INDEX($G$5:$G$94,$A53-(Premissas!$B$60)),0)*(Premissas!$B$59*Unitário!$B$22+(Premissas!$B$61*Unitário!$B$24+Premissas!$B$63*Unitário!$B$25))</f>
        <v>-0</v>
      </c>
      <c r="J53" s="13" t="n">
        <f aca="false">IF($A53-(Premissas!$B$54)&gt;=1,INDEX($G$5:$G$94,$A53-(Premissas!$B$54)),0)*Premissas!$B$26*((Premissas!$B$59*Unitário!$B$22+(Premissas!$B$61*Unitário!$B$24+Premissas!$B$63*Unitário!$B$25))-Premissas!$B$39)</f>
        <v>0</v>
      </c>
      <c r="K53" s="13" t="n">
        <f aca="false">IF($A53-(Premissas!$B$54+Premissas!$B$57)&gt;=1,INDEX($G$5:$G$94,$A53-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53" s="13" t="n">
        <f aca="false">IF($A53-(Premissas!$B$54+Premissas!$B$55)&gt;=1,INDEX($G$5:$G$94,$A53-(Premissas!$B$54+Premissas!$B$55)),0)*Unitário!$B$21*(Premissas!$B$51-(1-Premissas!$B$61)*Unitário!$B$24-(1-Premissas!$B$63)*Unitário!$B$25-(1-Premissas!$B$59)*Unitário!$B$22)</f>
        <v>0</v>
      </c>
      <c r="M53" s="13" t="n">
        <f aca="false">IF($A53-(Premissas!$B$56)&gt;=1,INDEX($H$5:$H$94,$A53-(Premissas!$B$56)),0)*(Premissas!$B$52-Unitário!$B$27)</f>
        <v>0</v>
      </c>
      <c r="N53" s="13" t="n">
        <f aca="false">-IF($A53-(Premissas!$B$60)&gt;=1,INDEX($H$5:$H$94,$A53-(Premissas!$B$60)),0)*(Premissas!$B$59*Unitário!$B$22+Premissas!$B$31)</f>
        <v>-0</v>
      </c>
      <c r="O53" s="13" t="n">
        <f aca="false">IF($A53-(Premissas!$B$54+Premissas!$B$57)&gt;=1,INDEX($H$5:$H$94,$A53-(Premissas!$B$54+Premissas!$B$57)),0)*Premissas!$B$27*(-Premissas!$B$52-Premissas!$B$41+Unitário!$B$27+(1-Premissas!$B$62)*Premissas!$B$31+Premissas!$B$59*Unitário!$B$22)</f>
        <v>-0</v>
      </c>
      <c r="P53" s="13" t="n">
        <f aca="false">-Premissas!$B$42*(IF($A53-(Premissas!$B$54+Premissas!$B$55)&gt;=1,INDEX($G$5:$G$94,$A53-(Premissas!$B$54+Premissas!$B$55)),0)*Unitário!$B$21*Premissas!$B$51+IF($A53-(Premissas!$B$56)&gt;=1,INDEX($H$5:$H$94,$A53-(Premissas!$B$56)),0)*(1-Premissas!$B$27)*Premissas!$B$52)</f>
        <v>-0</v>
      </c>
      <c r="Q53" s="13" t="n">
        <f aca="false">-IF(AND(DAY(B53+Premissas!$B$15)=Premissas!$B$16,B53+Premissas!$B$15&gt;=DATE(YEAR(Premissas!$B$11),MONTH(Premissas!$B$11)+1,Premissas!$B$16)),Premissas!$B$43,0)-IF(OR(E53&lt;0,F53&lt;0,IF(AND(DAY(B53+Premissas!$B$15)=Premissas!$B$16,B53+Premissas!$B$15&gt;=DATE(YEAR(Premissas!$B$11),MONTH(Premissas!$B$11)+1,Premissas!$B$16)),Premissas!$B$43,0)&gt;0),Premissas!$B$67*Premissas!$B$68,0)</f>
        <v>-0</v>
      </c>
      <c r="R53" s="13" t="n">
        <f aca="false">E53+F53+SUM(I53:Q53)</f>
        <v>0</v>
      </c>
      <c r="S53" s="13" t="n">
        <f aca="false">S52+R53</f>
        <v>1499.07771454867</v>
      </c>
      <c r="T53" s="16" t="n">
        <f aca="false">IF(AND($A53&gt;$B$100,S53&gt;=0),1,0)</f>
        <v>1</v>
      </c>
      <c r="U53" s="13" t="n">
        <f aca="false">S53-SUM($E$5:E53)-(1+Premissas!$B$17)*SUM($C$5:C53)</f>
        <v>1442.16271454867</v>
      </c>
      <c r="V53" s="13" t="n">
        <f aca="false">(G53+H53)*Premissas!$B$21</f>
        <v>0</v>
      </c>
      <c r="W53" s="16" t="n">
        <f aca="false">IF(V53&gt;0,DATE(YEAR(B53),MONTH(B53)+1,Premissas!$B$16)-Premissas!$B$11+1-Premissas!$B$15,0)</f>
        <v>0</v>
      </c>
      <c r="X53" s="13" t="n">
        <f aca="false">X52-Y52+C53*(1+Premissas!$B$17)</f>
        <v>0</v>
      </c>
      <c r="Y53" s="13" t="n">
        <f aca="false">IF(OR(X53&gt;=Premissas!$B$13,B53=DATE(YEAR(B53),MONTH(B53)+1,0)),X53,0)</f>
        <v>0</v>
      </c>
      <c r="Z53" s="13" t="n">
        <f aca="false">Z52-AA52+C53/Premissas!$B$18*Premissas!$B$20</f>
        <v>0</v>
      </c>
      <c r="AA53" s="13" t="n">
        <f aca="false">IF(OR(Z53&gt;=Premissas!$B$14,B53=DATE(YEAR(B53),MONTH(B53)+1,0)),Z53,0)</f>
        <v>0</v>
      </c>
      <c r="AB53" s="16" t="n">
        <f aca="false">IF(AA53&gt;0,IF(DAY(B53)&lt;=Premissas!$B$12,DATE(YEAR(B53),MONTH(B53),Premissas!$B$16),DATE(YEAR(B53),MONTH(B53)+1,Premissas!$B$16))-Premissas!$B$11+1-Premissas!$B$15,0)</f>
        <v>0</v>
      </c>
    </row>
    <row r="54" customFormat="false" ht="15" hidden="false" customHeight="true" outlineLevel="0" collapsed="false">
      <c r="A54" s="16" t="n">
        <v>50</v>
      </c>
      <c r="B54" s="31" t="n">
        <f aca="false">Premissas!$B$11+A54-1</f>
        <v>46367</v>
      </c>
      <c r="C54" s="13" t="n">
        <f aca="false">IF(A54&lt;=Premissas!$B$7,Premissas!$B$6/Premissas!$B$7,IF(A54&lt;=Premissas!$B$7+Premissas!$B$8,0,IF(A54&lt;=Premissas!$B$7+Premissas!$B$8+Premissas!$B$10,Premissas!$B$9/Premissas!$B$10,0)))</f>
        <v>0</v>
      </c>
      <c r="D54" s="16" t="n">
        <f aca="false">IF(Y54&gt;0,IF(DAY(B54)&lt;=Premissas!$B$12,DATE(YEAR(B54),MONTH(B54),Premissas!$B$16),DATE(YEAR(B54),MONTH(B54)+1,Premissas!$B$16))-Premissas!$B$11+1-Premissas!$B$15,0)</f>
        <v>0</v>
      </c>
      <c r="E54" s="13" t="n">
        <f aca="false">-SUMIF($D$5:$D$94,A54,$Y$5:$Y$94)</f>
        <v>-0</v>
      </c>
      <c r="F54" s="13" t="n">
        <f aca="false">-SUMIF($W$5:$W$94,A54,$V$5:$V$94)-SUMIF($AB$5:$AB$94,A54,$AA$5:$AA$94)</f>
        <v>-0</v>
      </c>
      <c r="G54" s="30" t="n">
        <f aca="false">C54/Premissas!$B$18*Premissas!$B$19*Premissas!$B$23</f>
        <v>0</v>
      </c>
      <c r="H54" s="30" t="n">
        <f aca="false">C54/Premissas!$B$18*Premissas!$B$19*Premissas!$B$24</f>
        <v>0</v>
      </c>
      <c r="I54" s="13" t="n">
        <f aca="false">-IF($A54-(Premissas!$B$60)&gt;=1,INDEX($G$5:$G$94,$A54-(Premissas!$B$60)),0)*(Premissas!$B$59*Unitário!$B$22+(Premissas!$B$61*Unitário!$B$24+Premissas!$B$63*Unitário!$B$25))</f>
        <v>-0</v>
      </c>
      <c r="J54" s="13" t="n">
        <f aca="false">IF($A54-(Premissas!$B$54)&gt;=1,INDEX($G$5:$G$94,$A54-(Premissas!$B$54)),0)*Premissas!$B$26*((Premissas!$B$59*Unitário!$B$22+(Premissas!$B$61*Unitário!$B$24+Premissas!$B$63*Unitário!$B$25))-Premissas!$B$39)</f>
        <v>0</v>
      </c>
      <c r="K54" s="13" t="n">
        <f aca="false">IF($A54-(Premissas!$B$54+Premissas!$B$57)&gt;=1,INDEX($G$5:$G$94,$A54-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54" s="13" t="n">
        <f aca="false">IF($A54-(Premissas!$B$54+Premissas!$B$55)&gt;=1,INDEX($G$5:$G$94,$A54-(Premissas!$B$54+Premissas!$B$55)),0)*Unitário!$B$21*(Premissas!$B$51-(1-Premissas!$B$61)*Unitário!$B$24-(1-Premissas!$B$63)*Unitário!$B$25-(1-Premissas!$B$59)*Unitário!$B$22)</f>
        <v>0</v>
      </c>
      <c r="M54" s="13" t="n">
        <f aca="false">IF($A54-(Premissas!$B$56)&gt;=1,INDEX($H$5:$H$94,$A54-(Premissas!$B$56)),0)*(Premissas!$B$52-Unitário!$B$27)</f>
        <v>0</v>
      </c>
      <c r="N54" s="13" t="n">
        <f aca="false">-IF($A54-(Premissas!$B$60)&gt;=1,INDEX($H$5:$H$94,$A54-(Premissas!$B$60)),0)*(Premissas!$B$59*Unitário!$B$22+Premissas!$B$31)</f>
        <v>-0</v>
      </c>
      <c r="O54" s="13" t="n">
        <f aca="false">IF($A54-(Premissas!$B$54+Premissas!$B$57)&gt;=1,INDEX($H$5:$H$94,$A54-(Premissas!$B$54+Premissas!$B$57)),0)*Premissas!$B$27*(-Premissas!$B$52-Premissas!$B$41+Unitário!$B$27+(1-Premissas!$B$62)*Premissas!$B$31+Premissas!$B$59*Unitário!$B$22)</f>
        <v>-0</v>
      </c>
      <c r="P54" s="13" t="n">
        <f aca="false">-Premissas!$B$42*(IF($A54-(Premissas!$B$54+Premissas!$B$55)&gt;=1,INDEX($G$5:$G$94,$A54-(Premissas!$B$54+Premissas!$B$55)),0)*Unitário!$B$21*Premissas!$B$51+IF($A54-(Premissas!$B$56)&gt;=1,INDEX($H$5:$H$94,$A54-(Premissas!$B$56)),0)*(1-Premissas!$B$27)*Premissas!$B$52)</f>
        <v>-0</v>
      </c>
      <c r="Q54" s="13" t="n">
        <f aca="false">-IF(AND(DAY(B54+Premissas!$B$15)=Premissas!$B$16,B54+Premissas!$B$15&gt;=DATE(YEAR(Premissas!$B$11),MONTH(Premissas!$B$11)+1,Premissas!$B$16)),Premissas!$B$43,0)-IF(OR(E54&lt;0,F54&lt;0,IF(AND(DAY(B54+Premissas!$B$15)=Premissas!$B$16,B54+Premissas!$B$15&gt;=DATE(YEAR(Premissas!$B$11),MONTH(Premissas!$B$11)+1,Premissas!$B$16)),Premissas!$B$43,0)&gt;0),Premissas!$B$67*Premissas!$B$68,0)</f>
        <v>-0</v>
      </c>
      <c r="R54" s="13" t="n">
        <f aca="false">E54+F54+SUM(I54:Q54)</f>
        <v>0</v>
      </c>
      <c r="S54" s="13" t="n">
        <f aca="false">S53+R54</f>
        <v>1499.07771454867</v>
      </c>
      <c r="T54" s="16" t="n">
        <f aca="false">IF(AND($A54&gt;$B$100,S54&gt;=0),1,0)</f>
        <v>1</v>
      </c>
      <c r="U54" s="13" t="n">
        <f aca="false">S54-SUM($E$5:E54)-(1+Premissas!$B$17)*SUM($C$5:C54)</f>
        <v>1442.16271454867</v>
      </c>
      <c r="V54" s="13" t="n">
        <f aca="false">(G54+H54)*Premissas!$B$21</f>
        <v>0</v>
      </c>
      <c r="W54" s="16" t="n">
        <f aca="false">IF(V54&gt;0,DATE(YEAR(B54),MONTH(B54)+1,Premissas!$B$16)-Premissas!$B$11+1-Premissas!$B$15,0)</f>
        <v>0</v>
      </c>
      <c r="X54" s="13" t="n">
        <f aca="false">X53-Y53+C54*(1+Premissas!$B$17)</f>
        <v>0</v>
      </c>
      <c r="Y54" s="13" t="n">
        <f aca="false">IF(OR(X54&gt;=Premissas!$B$13,B54=DATE(YEAR(B54),MONTH(B54)+1,0)),X54,0)</f>
        <v>0</v>
      </c>
      <c r="Z54" s="13" t="n">
        <f aca="false">Z53-AA53+C54/Premissas!$B$18*Premissas!$B$20</f>
        <v>0</v>
      </c>
      <c r="AA54" s="13" t="n">
        <f aca="false">IF(OR(Z54&gt;=Premissas!$B$14,B54=DATE(YEAR(B54),MONTH(B54)+1,0)),Z54,0)</f>
        <v>0</v>
      </c>
      <c r="AB54" s="16" t="n">
        <f aca="false">IF(AA54&gt;0,IF(DAY(B54)&lt;=Premissas!$B$12,DATE(YEAR(B54),MONTH(B54),Premissas!$B$16),DATE(YEAR(B54),MONTH(B54)+1,Premissas!$B$16))-Premissas!$B$11+1-Premissas!$B$15,0)</f>
        <v>0</v>
      </c>
    </row>
    <row r="55" customFormat="false" ht="15" hidden="false" customHeight="true" outlineLevel="0" collapsed="false">
      <c r="A55" s="16" t="n">
        <v>51</v>
      </c>
      <c r="B55" s="31" t="n">
        <f aca="false">Premissas!$B$11+A55-1</f>
        <v>46368</v>
      </c>
      <c r="C55" s="13" t="n">
        <f aca="false">IF(A55&lt;=Premissas!$B$7,Premissas!$B$6/Premissas!$B$7,IF(A55&lt;=Premissas!$B$7+Premissas!$B$8,0,IF(A55&lt;=Premissas!$B$7+Premissas!$B$8+Premissas!$B$10,Premissas!$B$9/Premissas!$B$10,0)))</f>
        <v>0</v>
      </c>
      <c r="D55" s="16" t="n">
        <f aca="false">IF(Y55&gt;0,IF(DAY(B55)&lt;=Premissas!$B$12,DATE(YEAR(B55),MONTH(B55),Premissas!$B$16),DATE(YEAR(B55),MONTH(B55)+1,Premissas!$B$16))-Premissas!$B$11+1-Premissas!$B$15,0)</f>
        <v>0</v>
      </c>
      <c r="E55" s="13" t="n">
        <f aca="false">-SUMIF($D$5:$D$94,A55,$Y$5:$Y$94)</f>
        <v>-0</v>
      </c>
      <c r="F55" s="13" t="n">
        <f aca="false">-SUMIF($W$5:$W$94,A55,$V$5:$V$94)-SUMIF($AB$5:$AB$94,A55,$AA$5:$AA$94)</f>
        <v>-0</v>
      </c>
      <c r="G55" s="30" t="n">
        <f aca="false">C55/Premissas!$B$18*Premissas!$B$19*Premissas!$B$23</f>
        <v>0</v>
      </c>
      <c r="H55" s="30" t="n">
        <f aca="false">C55/Premissas!$B$18*Premissas!$B$19*Premissas!$B$24</f>
        <v>0</v>
      </c>
      <c r="I55" s="13" t="n">
        <f aca="false">-IF($A55-(Premissas!$B$60)&gt;=1,INDEX($G$5:$G$94,$A55-(Premissas!$B$60)),0)*(Premissas!$B$59*Unitário!$B$22+(Premissas!$B$61*Unitário!$B$24+Premissas!$B$63*Unitário!$B$25))</f>
        <v>-0</v>
      </c>
      <c r="J55" s="13" t="n">
        <f aca="false">IF($A55-(Premissas!$B$54)&gt;=1,INDEX($G$5:$G$94,$A55-(Premissas!$B$54)),0)*Premissas!$B$26*((Premissas!$B$59*Unitário!$B$22+(Premissas!$B$61*Unitário!$B$24+Premissas!$B$63*Unitário!$B$25))-Premissas!$B$39)</f>
        <v>0</v>
      </c>
      <c r="K55" s="13" t="n">
        <f aca="false">IF($A55-(Premissas!$B$54+Premissas!$B$57)&gt;=1,INDEX($G$5:$G$94,$A55-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55" s="13" t="n">
        <f aca="false">IF($A55-(Premissas!$B$54+Premissas!$B$55)&gt;=1,INDEX($G$5:$G$94,$A55-(Premissas!$B$54+Premissas!$B$55)),0)*Unitário!$B$21*(Premissas!$B$51-(1-Premissas!$B$61)*Unitário!$B$24-(1-Premissas!$B$63)*Unitário!$B$25-(1-Premissas!$B$59)*Unitário!$B$22)</f>
        <v>0</v>
      </c>
      <c r="M55" s="13" t="n">
        <f aca="false">IF($A55-(Premissas!$B$56)&gt;=1,INDEX($H$5:$H$94,$A55-(Premissas!$B$56)),0)*(Premissas!$B$52-Unitário!$B$27)</f>
        <v>0</v>
      </c>
      <c r="N55" s="13" t="n">
        <f aca="false">-IF($A55-(Premissas!$B$60)&gt;=1,INDEX($H$5:$H$94,$A55-(Premissas!$B$60)),0)*(Premissas!$B$59*Unitário!$B$22+Premissas!$B$31)</f>
        <v>-0</v>
      </c>
      <c r="O55" s="13" t="n">
        <f aca="false">IF($A55-(Premissas!$B$54+Premissas!$B$57)&gt;=1,INDEX($H$5:$H$94,$A55-(Premissas!$B$54+Premissas!$B$57)),0)*Premissas!$B$27*(-Premissas!$B$52-Premissas!$B$41+Unitário!$B$27+(1-Premissas!$B$62)*Premissas!$B$31+Premissas!$B$59*Unitário!$B$22)</f>
        <v>-0</v>
      </c>
      <c r="P55" s="13" t="n">
        <f aca="false">-Premissas!$B$42*(IF($A55-(Premissas!$B$54+Premissas!$B$55)&gt;=1,INDEX($G$5:$G$94,$A55-(Premissas!$B$54+Premissas!$B$55)),0)*Unitário!$B$21*Premissas!$B$51+IF($A55-(Premissas!$B$56)&gt;=1,INDEX($H$5:$H$94,$A55-(Premissas!$B$56)),0)*(1-Premissas!$B$27)*Premissas!$B$52)</f>
        <v>-0</v>
      </c>
      <c r="Q55" s="13" t="n">
        <f aca="false">-IF(AND(DAY(B55+Premissas!$B$15)=Premissas!$B$16,B55+Premissas!$B$15&gt;=DATE(YEAR(Premissas!$B$11),MONTH(Premissas!$B$11)+1,Premissas!$B$16)),Premissas!$B$43,0)-IF(OR(E55&lt;0,F55&lt;0,IF(AND(DAY(B55+Premissas!$B$15)=Premissas!$B$16,B55+Premissas!$B$15&gt;=DATE(YEAR(Premissas!$B$11),MONTH(Premissas!$B$11)+1,Premissas!$B$16)),Premissas!$B$43,0)&gt;0),Premissas!$B$67*Premissas!$B$68,0)</f>
        <v>-0</v>
      </c>
      <c r="R55" s="13" t="n">
        <f aca="false">E55+F55+SUM(I55:Q55)</f>
        <v>0</v>
      </c>
      <c r="S55" s="13" t="n">
        <f aca="false">S54+R55</f>
        <v>1499.07771454867</v>
      </c>
      <c r="T55" s="16" t="n">
        <f aca="false">IF(AND($A55&gt;$B$100,S55&gt;=0),1,0)</f>
        <v>1</v>
      </c>
      <c r="U55" s="13" t="n">
        <f aca="false">S55-SUM($E$5:E55)-(1+Premissas!$B$17)*SUM($C$5:C55)</f>
        <v>1442.16271454867</v>
      </c>
      <c r="V55" s="13" t="n">
        <f aca="false">(G55+H55)*Premissas!$B$21</f>
        <v>0</v>
      </c>
      <c r="W55" s="16" t="n">
        <f aca="false">IF(V55&gt;0,DATE(YEAR(B55),MONTH(B55)+1,Premissas!$B$16)-Premissas!$B$11+1-Premissas!$B$15,0)</f>
        <v>0</v>
      </c>
      <c r="X55" s="13" t="n">
        <f aca="false">X54-Y54+C55*(1+Premissas!$B$17)</f>
        <v>0</v>
      </c>
      <c r="Y55" s="13" t="n">
        <f aca="false">IF(OR(X55&gt;=Premissas!$B$13,B55=DATE(YEAR(B55),MONTH(B55)+1,0)),X55,0)</f>
        <v>0</v>
      </c>
      <c r="Z55" s="13" t="n">
        <f aca="false">Z54-AA54+C55/Premissas!$B$18*Premissas!$B$20</f>
        <v>0</v>
      </c>
      <c r="AA55" s="13" t="n">
        <f aca="false">IF(OR(Z55&gt;=Premissas!$B$14,B55=DATE(YEAR(B55),MONTH(B55)+1,0)),Z55,0)</f>
        <v>0</v>
      </c>
      <c r="AB55" s="16" t="n">
        <f aca="false">IF(AA55&gt;0,IF(DAY(B55)&lt;=Premissas!$B$12,DATE(YEAR(B55),MONTH(B55),Premissas!$B$16),DATE(YEAR(B55),MONTH(B55)+1,Premissas!$B$16))-Premissas!$B$11+1-Premissas!$B$15,0)</f>
        <v>0</v>
      </c>
    </row>
    <row r="56" customFormat="false" ht="15" hidden="false" customHeight="true" outlineLevel="0" collapsed="false">
      <c r="A56" s="16" t="n">
        <v>52</v>
      </c>
      <c r="B56" s="31" t="n">
        <f aca="false">Premissas!$B$11+A56-1</f>
        <v>46369</v>
      </c>
      <c r="C56" s="13" t="n">
        <f aca="false">IF(A56&lt;=Premissas!$B$7,Premissas!$B$6/Premissas!$B$7,IF(A56&lt;=Premissas!$B$7+Premissas!$B$8,0,IF(A56&lt;=Premissas!$B$7+Premissas!$B$8+Premissas!$B$10,Premissas!$B$9/Premissas!$B$10,0)))</f>
        <v>0</v>
      </c>
      <c r="D56" s="16" t="n">
        <f aca="false">IF(Y56&gt;0,IF(DAY(B56)&lt;=Premissas!$B$12,DATE(YEAR(B56),MONTH(B56),Premissas!$B$16),DATE(YEAR(B56),MONTH(B56)+1,Premissas!$B$16))-Premissas!$B$11+1-Premissas!$B$15,0)</f>
        <v>0</v>
      </c>
      <c r="E56" s="13" t="n">
        <f aca="false">-SUMIF($D$5:$D$94,A56,$Y$5:$Y$94)</f>
        <v>-0</v>
      </c>
      <c r="F56" s="13" t="n">
        <f aca="false">-SUMIF($W$5:$W$94,A56,$V$5:$V$94)-SUMIF($AB$5:$AB$94,A56,$AA$5:$AA$94)</f>
        <v>-0</v>
      </c>
      <c r="G56" s="30" t="n">
        <f aca="false">C56/Premissas!$B$18*Premissas!$B$19*Premissas!$B$23</f>
        <v>0</v>
      </c>
      <c r="H56" s="30" t="n">
        <f aca="false">C56/Premissas!$B$18*Premissas!$B$19*Premissas!$B$24</f>
        <v>0</v>
      </c>
      <c r="I56" s="13" t="n">
        <f aca="false">-IF($A56-(Premissas!$B$60)&gt;=1,INDEX($G$5:$G$94,$A56-(Premissas!$B$60)),0)*(Premissas!$B$59*Unitário!$B$22+(Premissas!$B$61*Unitário!$B$24+Premissas!$B$63*Unitário!$B$25))</f>
        <v>-0</v>
      </c>
      <c r="J56" s="13" t="n">
        <f aca="false">IF($A56-(Premissas!$B$54)&gt;=1,INDEX($G$5:$G$94,$A56-(Premissas!$B$54)),0)*Premissas!$B$26*((Premissas!$B$59*Unitário!$B$22+(Premissas!$B$61*Unitário!$B$24+Premissas!$B$63*Unitário!$B$25))-Premissas!$B$39)</f>
        <v>0</v>
      </c>
      <c r="K56" s="13" t="n">
        <f aca="false">IF($A56-(Premissas!$B$54+Premissas!$B$57)&gt;=1,INDEX($G$5:$G$94,$A56-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56" s="13" t="n">
        <f aca="false">IF($A56-(Premissas!$B$54+Premissas!$B$55)&gt;=1,INDEX($G$5:$G$94,$A56-(Premissas!$B$54+Premissas!$B$55)),0)*Unitário!$B$21*(Premissas!$B$51-(1-Premissas!$B$61)*Unitário!$B$24-(1-Premissas!$B$63)*Unitário!$B$25-(1-Premissas!$B$59)*Unitário!$B$22)</f>
        <v>0</v>
      </c>
      <c r="M56" s="13" t="n">
        <f aca="false">IF($A56-(Premissas!$B$56)&gt;=1,INDEX($H$5:$H$94,$A56-(Premissas!$B$56)),0)*(Premissas!$B$52-Unitário!$B$27)</f>
        <v>0</v>
      </c>
      <c r="N56" s="13" t="n">
        <f aca="false">-IF($A56-(Premissas!$B$60)&gt;=1,INDEX($H$5:$H$94,$A56-(Premissas!$B$60)),0)*(Premissas!$B$59*Unitário!$B$22+Premissas!$B$31)</f>
        <v>-0</v>
      </c>
      <c r="O56" s="13" t="n">
        <f aca="false">IF($A56-(Premissas!$B$54+Premissas!$B$57)&gt;=1,INDEX($H$5:$H$94,$A56-(Premissas!$B$54+Premissas!$B$57)),0)*Premissas!$B$27*(-Premissas!$B$52-Premissas!$B$41+Unitário!$B$27+(1-Premissas!$B$62)*Premissas!$B$31+Premissas!$B$59*Unitário!$B$22)</f>
        <v>-0</v>
      </c>
      <c r="P56" s="13" t="n">
        <f aca="false">-Premissas!$B$42*(IF($A56-(Premissas!$B$54+Premissas!$B$55)&gt;=1,INDEX($G$5:$G$94,$A56-(Premissas!$B$54+Premissas!$B$55)),0)*Unitário!$B$21*Premissas!$B$51+IF($A56-(Premissas!$B$56)&gt;=1,INDEX($H$5:$H$94,$A56-(Premissas!$B$56)),0)*(1-Premissas!$B$27)*Premissas!$B$52)</f>
        <v>-0</v>
      </c>
      <c r="Q56" s="13" t="n">
        <f aca="false">-IF(AND(DAY(B56+Premissas!$B$15)=Premissas!$B$16,B56+Premissas!$B$15&gt;=DATE(YEAR(Premissas!$B$11),MONTH(Premissas!$B$11)+1,Premissas!$B$16)),Premissas!$B$43,0)-IF(OR(E56&lt;0,F56&lt;0,IF(AND(DAY(B56+Premissas!$B$15)=Premissas!$B$16,B56+Premissas!$B$15&gt;=DATE(YEAR(Premissas!$B$11),MONTH(Premissas!$B$11)+1,Premissas!$B$16)),Premissas!$B$43,0)&gt;0),Premissas!$B$67*Premissas!$B$68,0)</f>
        <v>-0</v>
      </c>
      <c r="R56" s="13" t="n">
        <f aca="false">E56+F56+SUM(I56:Q56)</f>
        <v>0</v>
      </c>
      <c r="S56" s="13" t="n">
        <f aca="false">S55+R56</f>
        <v>1499.07771454867</v>
      </c>
      <c r="T56" s="16" t="n">
        <f aca="false">IF(AND($A56&gt;$B$100,S56&gt;=0),1,0)</f>
        <v>1</v>
      </c>
      <c r="U56" s="13" t="n">
        <f aca="false">S56-SUM($E$5:E56)-(1+Premissas!$B$17)*SUM($C$5:C56)</f>
        <v>1442.16271454867</v>
      </c>
      <c r="V56" s="13" t="n">
        <f aca="false">(G56+H56)*Premissas!$B$21</f>
        <v>0</v>
      </c>
      <c r="W56" s="16" t="n">
        <f aca="false">IF(V56&gt;0,DATE(YEAR(B56),MONTH(B56)+1,Premissas!$B$16)-Premissas!$B$11+1-Premissas!$B$15,0)</f>
        <v>0</v>
      </c>
      <c r="X56" s="13" t="n">
        <f aca="false">X55-Y55+C56*(1+Premissas!$B$17)</f>
        <v>0</v>
      </c>
      <c r="Y56" s="13" t="n">
        <f aca="false">IF(OR(X56&gt;=Premissas!$B$13,B56=DATE(YEAR(B56),MONTH(B56)+1,0)),X56,0)</f>
        <v>0</v>
      </c>
      <c r="Z56" s="13" t="n">
        <f aca="false">Z55-AA55+C56/Premissas!$B$18*Premissas!$B$20</f>
        <v>0</v>
      </c>
      <c r="AA56" s="13" t="n">
        <f aca="false">IF(OR(Z56&gt;=Premissas!$B$14,B56=DATE(YEAR(B56),MONTH(B56)+1,0)),Z56,0)</f>
        <v>0</v>
      </c>
      <c r="AB56" s="16" t="n">
        <f aca="false">IF(AA56&gt;0,IF(DAY(B56)&lt;=Premissas!$B$12,DATE(YEAR(B56),MONTH(B56),Premissas!$B$16),DATE(YEAR(B56),MONTH(B56)+1,Premissas!$B$16))-Premissas!$B$11+1-Premissas!$B$15,0)</f>
        <v>0</v>
      </c>
    </row>
    <row r="57" customFormat="false" ht="15" hidden="false" customHeight="true" outlineLevel="0" collapsed="false">
      <c r="A57" s="16" t="n">
        <v>53</v>
      </c>
      <c r="B57" s="31" t="n">
        <f aca="false">Premissas!$B$11+A57-1</f>
        <v>46370</v>
      </c>
      <c r="C57" s="13" t="n">
        <f aca="false">IF(A57&lt;=Premissas!$B$7,Premissas!$B$6/Premissas!$B$7,IF(A57&lt;=Premissas!$B$7+Premissas!$B$8,0,IF(A57&lt;=Premissas!$B$7+Premissas!$B$8+Premissas!$B$10,Premissas!$B$9/Premissas!$B$10,0)))</f>
        <v>0</v>
      </c>
      <c r="D57" s="16" t="n">
        <f aca="false">IF(Y57&gt;0,IF(DAY(B57)&lt;=Premissas!$B$12,DATE(YEAR(B57),MONTH(B57),Premissas!$B$16),DATE(YEAR(B57),MONTH(B57)+1,Premissas!$B$16))-Premissas!$B$11+1-Premissas!$B$15,0)</f>
        <v>0</v>
      </c>
      <c r="E57" s="13" t="n">
        <f aca="false">-SUMIF($D$5:$D$94,A57,$Y$5:$Y$94)</f>
        <v>-0</v>
      </c>
      <c r="F57" s="13" t="n">
        <f aca="false">-SUMIF($W$5:$W$94,A57,$V$5:$V$94)-SUMIF($AB$5:$AB$94,A57,$AA$5:$AA$94)</f>
        <v>-0</v>
      </c>
      <c r="G57" s="30" t="n">
        <f aca="false">C57/Premissas!$B$18*Premissas!$B$19*Premissas!$B$23</f>
        <v>0</v>
      </c>
      <c r="H57" s="30" t="n">
        <f aca="false">C57/Premissas!$B$18*Premissas!$B$19*Premissas!$B$24</f>
        <v>0</v>
      </c>
      <c r="I57" s="13" t="n">
        <f aca="false">-IF($A57-(Premissas!$B$60)&gt;=1,INDEX($G$5:$G$94,$A57-(Premissas!$B$60)),0)*(Premissas!$B$59*Unitário!$B$22+(Premissas!$B$61*Unitário!$B$24+Premissas!$B$63*Unitário!$B$25))</f>
        <v>-0</v>
      </c>
      <c r="J57" s="13" t="n">
        <f aca="false">IF($A57-(Premissas!$B$54)&gt;=1,INDEX($G$5:$G$94,$A57-(Premissas!$B$54)),0)*Premissas!$B$26*((Premissas!$B$59*Unitário!$B$22+(Premissas!$B$61*Unitário!$B$24+Premissas!$B$63*Unitário!$B$25))-Premissas!$B$39)</f>
        <v>0</v>
      </c>
      <c r="K57" s="13" t="n">
        <f aca="false">IF($A57-(Premissas!$B$54+Premissas!$B$57)&gt;=1,INDEX($G$5:$G$94,$A57-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57" s="13" t="n">
        <f aca="false">IF($A57-(Premissas!$B$54+Premissas!$B$55)&gt;=1,INDEX($G$5:$G$94,$A57-(Premissas!$B$54+Premissas!$B$55)),0)*Unitário!$B$21*(Premissas!$B$51-(1-Premissas!$B$61)*Unitário!$B$24-(1-Premissas!$B$63)*Unitário!$B$25-(1-Premissas!$B$59)*Unitário!$B$22)</f>
        <v>0</v>
      </c>
      <c r="M57" s="13" t="n">
        <f aca="false">IF($A57-(Premissas!$B$56)&gt;=1,INDEX($H$5:$H$94,$A57-(Premissas!$B$56)),0)*(Premissas!$B$52-Unitário!$B$27)</f>
        <v>0</v>
      </c>
      <c r="N57" s="13" t="n">
        <f aca="false">-IF($A57-(Premissas!$B$60)&gt;=1,INDEX($H$5:$H$94,$A57-(Premissas!$B$60)),0)*(Premissas!$B$59*Unitário!$B$22+Premissas!$B$31)</f>
        <v>-0</v>
      </c>
      <c r="O57" s="13" t="n">
        <f aca="false">IF($A57-(Premissas!$B$54+Premissas!$B$57)&gt;=1,INDEX($H$5:$H$94,$A57-(Premissas!$B$54+Premissas!$B$57)),0)*Premissas!$B$27*(-Premissas!$B$52-Premissas!$B$41+Unitário!$B$27+(1-Premissas!$B$62)*Premissas!$B$31+Premissas!$B$59*Unitário!$B$22)</f>
        <v>-0</v>
      </c>
      <c r="P57" s="13" t="n">
        <f aca="false">-Premissas!$B$42*(IF($A57-(Premissas!$B$54+Premissas!$B$55)&gt;=1,INDEX($G$5:$G$94,$A57-(Premissas!$B$54+Premissas!$B$55)),0)*Unitário!$B$21*Premissas!$B$51+IF($A57-(Premissas!$B$56)&gt;=1,INDEX($H$5:$H$94,$A57-(Premissas!$B$56)),0)*(1-Premissas!$B$27)*Premissas!$B$52)</f>
        <v>-0</v>
      </c>
      <c r="Q57" s="13" t="n">
        <f aca="false">-IF(AND(DAY(B57+Premissas!$B$15)=Premissas!$B$16,B57+Premissas!$B$15&gt;=DATE(YEAR(Premissas!$B$11),MONTH(Premissas!$B$11)+1,Premissas!$B$16)),Premissas!$B$43,0)-IF(OR(E57&lt;0,F57&lt;0,IF(AND(DAY(B57+Premissas!$B$15)=Premissas!$B$16,B57+Premissas!$B$15&gt;=DATE(YEAR(Premissas!$B$11),MONTH(Premissas!$B$11)+1,Premissas!$B$16)),Premissas!$B$43,0)&gt;0),Premissas!$B$67*Premissas!$B$68,0)</f>
        <v>-0</v>
      </c>
      <c r="R57" s="13" t="n">
        <f aca="false">E57+F57+SUM(I57:Q57)</f>
        <v>0</v>
      </c>
      <c r="S57" s="13" t="n">
        <f aca="false">S56+R57</f>
        <v>1499.07771454867</v>
      </c>
      <c r="T57" s="16" t="n">
        <f aca="false">IF(AND($A57&gt;$B$100,S57&gt;=0),1,0)</f>
        <v>1</v>
      </c>
      <c r="U57" s="13" t="n">
        <f aca="false">S57-SUM($E$5:E57)-(1+Premissas!$B$17)*SUM($C$5:C57)</f>
        <v>1442.16271454867</v>
      </c>
      <c r="V57" s="13" t="n">
        <f aca="false">(G57+H57)*Premissas!$B$21</f>
        <v>0</v>
      </c>
      <c r="W57" s="16" t="n">
        <f aca="false">IF(V57&gt;0,DATE(YEAR(B57),MONTH(B57)+1,Premissas!$B$16)-Premissas!$B$11+1-Premissas!$B$15,0)</f>
        <v>0</v>
      </c>
      <c r="X57" s="13" t="n">
        <f aca="false">X56-Y56+C57*(1+Premissas!$B$17)</f>
        <v>0</v>
      </c>
      <c r="Y57" s="13" t="n">
        <f aca="false">IF(OR(X57&gt;=Premissas!$B$13,B57=DATE(YEAR(B57),MONTH(B57)+1,0)),X57,0)</f>
        <v>0</v>
      </c>
      <c r="Z57" s="13" t="n">
        <f aca="false">Z56-AA56+C57/Premissas!$B$18*Premissas!$B$20</f>
        <v>0</v>
      </c>
      <c r="AA57" s="13" t="n">
        <f aca="false">IF(OR(Z57&gt;=Premissas!$B$14,B57=DATE(YEAR(B57),MONTH(B57)+1,0)),Z57,0)</f>
        <v>0</v>
      </c>
      <c r="AB57" s="16" t="n">
        <f aca="false">IF(AA57&gt;0,IF(DAY(B57)&lt;=Premissas!$B$12,DATE(YEAR(B57),MONTH(B57),Premissas!$B$16),DATE(YEAR(B57),MONTH(B57)+1,Premissas!$B$16))-Premissas!$B$11+1-Premissas!$B$15,0)</f>
        <v>0</v>
      </c>
    </row>
    <row r="58" customFormat="false" ht="15" hidden="false" customHeight="true" outlineLevel="0" collapsed="false">
      <c r="A58" s="16" t="n">
        <v>54</v>
      </c>
      <c r="B58" s="31" t="n">
        <f aca="false">Premissas!$B$11+A58-1</f>
        <v>46371</v>
      </c>
      <c r="C58" s="13" t="n">
        <f aca="false">IF(A58&lt;=Premissas!$B$7,Premissas!$B$6/Premissas!$B$7,IF(A58&lt;=Premissas!$B$7+Premissas!$B$8,0,IF(A58&lt;=Premissas!$B$7+Premissas!$B$8+Premissas!$B$10,Premissas!$B$9/Premissas!$B$10,0)))</f>
        <v>0</v>
      </c>
      <c r="D58" s="16" t="n">
        <f aca="false">IF(Y58&gt;0,IF(DAY(B58)&lt;=Premissas!$B$12,DATE(YEAR(B58),MONTH(B58),Premissas!$B$16),DATE(YEAR(B58),MONTH(B58)+1,Premissas!$B$16))-Premissas!$B$11+1-Premissas!$B$15,0)</f>
        <v>0</v>
      </c>
      <c r="E58" s="13" t="n">
        <f aca="false">-SUMIF($D$5:$D$94,A58,$Y$5:$Y$94)</f>
        <v>-0</v>
      </c>
      <c r="F58" s="13" t="n">
        <f aca="false">-SUMIF($W$5:$W$94,A58,$V$5:$V$94)-SUMIF($AB$5:$AB$94,A58,$AA$5:$AA$94)</f>
        <v>-0</v>
      </c>
      <c r="G58" s="30" t="n">
        <f aca="false">C58/Premissas!$B$18*Premissas!$B$19*Premissas!$B$23</f>
        <v>0</v>
      </c>
      <c r="H58" s="30" t="n">
        <f aca="false">C58/Premissas!$B$18*Premissas!$B$19*Premissas!$B$24</f>
        <v>0</v>
      </c>
      <c r="I58" s="13" t="n">
        <f aca="false">-IF($A58-(Premissas!$B$60)&gt;=1,INDEX($G$5:$G$94,$A58-(Premissas!$B$60)),0)*(Premissas!$B$59*Unitário!$B$22+(Premissas!$B$61*Unitário!$B$24+Premissas!$B$63*Unitário!$B$25))</f>
        <v>-0</v>
      </c>
      <c r="J58" s="13" t="n">
        <f aca="false">IF($A58-(Premissas!$B$54)&gt;=1,INDEX($G$5:$G$94,$A58-(Premissas!$B$54)),0)*Premissas!$B$26*((Premissas!$B$59*Unitário!$B$22+(Premissas!$B$61*Unitário!$B$24+Premissas!$B$63*Unitário!$B$25))-Premissas!$B$39)</f>
        <v>0</v>
      </c>
      <c r="K58" s="13" t="n">
        <f aca="false">IF($A58-(Premissas!$B$54+Premissas!$B$57)&gt;=1,INDEX($G$5:$G$94,$A58-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58" s="13" t="n">
        <f aca="false">IF($A58-(Premissas!$B$54+Premissas!$B$55)&gt;=1,INDEX($G$5:$G$94,$A58-(Premissas!$B$54+Premissas!$B$55)),0)*Unitário!$B$21*(Premissas!$B$51-(1-Premissas!$B$61)*Unitário!$B$24-(1-Premissas!$B$63)*Unitário!$B$25-(1-Premissas!$B$59)*Unitário!$B$22)</f>
        <v>0</v>
      </c>
      <c r="M58" s="13" t="n">
        <f aca="false">IF($A58-(Premissas!$B$56)&gt;=1,INDEX($H$5:$H$94,$A58-(Premissas!$B$56)),0)*(Premissas!$B$52-Unitário!$B$27)</f>
        <v>0</v>
      </c>
      <c r="N58" s="13" t="n">
        <f aca="false">-IF($A58-(Premissas!$B$60)&gt;=1,INDEX($H$5:$H$94,$A58-(Premissas!$B$60)),0)*(Premissas!$B$59*Unitário!$B$22+Premissas!$B$31)</f>
        <v>-0</v>
      </c>
      <c r="O58" s="13" t="n">
        <f aca="false">IF($A58-(Premissas!$B$54+Premissas!$B$57)&gt;=1,INDEX($H$5:$H$94,$A58-(Premissas!$B$54+Premissas!$B$57)),0)*Premissas!$B$27*(-Premissas!$B$52-Premissas!$B$41+Unitário!$B$27+(1-Premissas!$B$62)*Premissas!$B$31+Premissas!$B$59*Unitário!$B$22)</f>
        <v>-0</v>
      </c>
      <c r="P58" s="13" t="n">
        <f aca="false">-Premissas!$B$42*(IF($A58-(Premissas!$B$54+Premissas!$B$55)&gt;=1,INDEX($G$5:$G$94,$A58-(Premissas!$B$54+Premissas!$B$55)),0)*Unitário!$B$21*Premissas!$B$51+IF($A58-(Premissas!$B$56)&gt;=1,INDEX($H$5:$H$94,$A58-(Premissas!$B$56)),0)*(1-Premissas!$B$27)*Premissas!$B$52)</f>
        <v>-0</v>
      </c>
      <c r="Q58" s="13" t="n">
        <f aca="false">-IF(AND(DAY(B58+Premissas!$B$15)=Premissas!$B$16,B58+Premissas!$B$15&gt;=DATE(YEAR(Premissas!$B$11),MONTH(Premissas!$B$11)+1,Premissas!$B$16)),Premissas!$B$43,0)-IF(OR(E58&lt;0,F58&lt;0,IF(AND(DAY(B58+Premissas!$B$15)=Premissas!$B$16,B58+Premissas!$B$15&gt;=DATE(YEAR(Premissas!$B$11),MONTH(Premissas!$B$11)+1,Premissas!$B$16)),Premissas!$B$43,0)&gt;0),Premissas!$B$67*Premissas!$B$68,0)</f>
        <v>-0</v>
      </c>
      <c r="R58" s="13" t="n">
        <f aca="false">E58+F58+SUM(I58:Q58)</f>
        <v>0</v>
      </c>
      <c r="S58" s="13" t="n">
        <f aca="false">S57+R58</f>
        <v>1499.07771454867</v>
      </c>
      <c r="T58" s="16" t="n">
        <f aca="false">IF(AND($A58&gt;$B$100,S58&gt;=0),1,0)</f>
        <v>1</v>
      </c>
      <c r="U58" s="13" t="n">
        <f aca="false">S58-SUM($E$5:E58)-(1+Premissas!$B$17)*SUM($C$5:C58)</f>
        <v>1442.16271454867</v>
      </c>
      <c r="V58" s="13" t="n">
        <f aca="false">(G58+H58)*Premissas!$B$21</f>
        <v>0</v>
      </c>
      <c r="W58" s="16" t="n">
        <f aca="false">IF(V58&gt;0,DATE(YEAR(B58),MONTH(B58)+1,Premissas!$B$16)-Premissas!$B$11+1-Premissas!$B$15,0)</f>
        <v>0</v>
      </c>
      <c r="X58" s="13" t="n">
        <f aca="false">X57-Y57+C58*(1+Premissas!$B$17)</f>
        <v>0</v>
      </c>
      <c r="Y58" s="13" t="n">
        <f aca="false">IF(OR(X58&gt;=Premissas!$B$13,B58=DATE(YEAR(B58),MONTH(B58)+1,0)),X58,0)</f>
        <v>0</v>
      </c>
      <c r="Z58" s="13" t="n">
        <f aca="false">Z57-AA57+C58/Premissas!$B$18*Premissas!$B$20</f>
        <v>0</v>
      </c>
      <c r="AA58" s="13" t="n">
        <f aca="false">IF(OR(Z58&gt;=Premissas!$B$14,B58=DATE(YEAR(B58),MONTH(B58)+1,0)),Z58,0)</f>
        <v>0</v>
      </c>
      <c r="AB58" s="16" t="n">
        <f aca="false">IF(AA58&gt;0,IF(DAY(B58)&lt;=Premissas!$B$12,DATE(YEAR(B58),MONTH(B58),Premissas!$B$16),DATE(YEAR(B58),MONTH(B58)+1,Premissas!$B$16))-Premissas!$B$11+1-Premissas!$B$15,0)</f>
        <v>0</v>
      </c>
    </row>
    <row r="59" customFormat="false" ht="15" hidden="false" customHeight="true" outlineLevel="0" collapsed="false">
      <c r="A59" s="16" t="n">
        <v>55</v>
      </c>
      <c r="B59" s="31" t="n">
        <f aca="false">Premissas!$B$11+A59-1</f>
        <v>46372</v>
      </c>
      <c r="C59" s="13" t="n">
        <f aca="false">IF(A59&lt;=Premissas!$B$7,Premissas!$B$6/Premissas!$B$7,IF(A59&lt;=Premissas!$B$7+Premissas!$B$8,0,IF(A59&lt;=Premissas!$B$7+Premissas!$B$8+Premissas!$B$10,Premissas!$B$9/Premissas!$B$10,0)))</f>
        <v>0</v>
      </c>
      <c r="D59" s="16" t="n">
        <f aca="false">IF(Y59&gt;0,IF(DAY(B59)&lt;=Premissas!$B$12,DATE(YEAR(B59),MONTH(B59),Premissas!$B$16),DATE(YEAR(B59),MONTH(B59)+1,Premissas!$B$16))-Premissas!$B$11+1-Premissas!$B$15,0)</f>
        <v>0</v>
      </c>
      <c r="E59" s="13" t="n">
        <f aca="false">-SUMIF($D$5:$D$94,A59,$Y$5:$Y$94)</f>
        <v>-0</v>
      </c>
      <c r="F59" s="13" t="n">
        <f aca="false">-SUMIF($W$5:$W$94,A59,$V$5:$V$94)-SUMIF($AB$5:$AB$94,A59,$AA$5:$AA$94)</f>
        <v>-0</v>
      </c>
      <c r="G59" s="30" t="n">
        <f aca="false">C59/Premissas!$B$18*Premissas!$B$19*Premissas!$B$23</f>
        <v>0</v>
      </c>
      <c r="H59" s="30" t="n">
        <f aca="false">C59/Premissas!$B$18*Premissas!$B$19*Premissas!$B$24</f>
        <v>0</v>
      </c>
      <c r="I59" s="13" t="n">
        <f aca="false">-IF($A59-(Premissas!$B$60)&gt;=1,INDEX($G$5:$G$94,$A59-(Premissas!$B$60)),0)*(Premissas!$B$59*Unitário!$B$22+(Premissas!$B$61*Unitário!$B$24+Premissas!$B$63*Unitário!$B$25))</f>
        <v>-0</v>
      </c>
      <c r="J59" s="13" t="n">
        <f aca="false">IF($A59-(Premissas!$B$54)&gt;=1,INDEX($G$5:$G$94,$A59-(Premissas!$B$54)),0)*Premissas!$B$26*((Premissas!$B$59*Unitário!$B$22+(Premissas!$B$61*Unitário!$B$24+Premissas!$B$63*Unitário!$B$25))-Premissas!$B$39)</f>
        <v>0</v>
      </c>
      <c r="K59" s="13" t="n">
        <f aca="false">IF($A59-(Premissas!$B$54+Premissas!$B$57)&gt;=1,INDEX($G$5:$G$94,$A59-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59" s="13" t="n">
        <f aca="false">IF($A59-(Premissas!$B$54+Premissas!$B$55)&gt;=1,INDEX($G$5:$G$94,$A59-(Premissas!$B$54+Premissas!$B$55)),0)*Unitário!$B$21*(Premissas!$B$51-(1-Premissas!$B$61)*Unitário!$B$24-(1-Premissas!$B$63)*Unitário!$B$25-(1-Premissas!$B$59)*Unitário!$B$22)</f>
        <v>0</v>
      </c>
      <c r="M59" s="13" t="n">
        <f aca="false">IF($A59-(Premissas!$B$56)&gt;=1,INDEX($H$5:$H$94,$A59-(Premissas!$B$56)),0)*(Premissas!$B$52-Unitário!$B$27)</f>
        <v>0</v>
      </c>
      <c r="N59" s="13" t="n">
        <f aca="false">-IF($A59-(Premissas!$B$60)&gt;=1,INDEX($H$5:$H$94,$A59-(Premissas!$B$60)),0)*(Premissas!$B$59*Unitário!$B$22+Premissas!$B$31)</f>
        <v>-0</v>
      </c>
      <c r="O59" s="13" t="n">
        <f aca="false">IF($A59-(Premissas!$B$54+Premissas!$B$57)&gt;=1,INDEX($H$5:$H$94,$A59-(Premissas!$B$54+Premissas!$B$57)),0)*Premissas!$B$27*(-Premissas!$B$52-Premissas!$B$41+Unitário!$B$27+(1-Premissas!$B$62)*Premissas!$B$31+Premissas!$B$59*Unitário!$B$22)</f>
        <v>-0</v>
      </c>
      <c r="P59" s="13" t="n">
        <f aca="false">-Premissas!$B$42*(IF($A59-(Premissas!$B$54+Premissas!$B$55)&gt;=1,INDEX($G$5:$G$94,$A59-(Premissas!$B$54+Premissas!$B$55)),0)*Unitário!$B$21*Premissas!$B$51+IF($A59-(Premissas!$B$56)&gt;=1,INDEX($H$5:$H$94,$A59-(Premissas!$B$56)),0)*(1-Premissas!$B$27)*Premissas!$B$52)</f>
        <v>-0</v>
      </c>
      <c r="Q59" s="13" t="n">
        <f aca="false">-IF(AND(DAY(B59+Premissas!$B$15)=Premissas!$B$16,B59+Premissas!$B$15&gt;=DATE(YEAR(Premissas!$B$11),MONTH(Premissas!$B$11)+1,Premissas!$B$16)),Premissas!$B$43,0)-IF(OR(E59&lt;0,F59&lt;0,IF(AND(DAY(B59+Premissas!$B$15)=Premissas!$B$16,B59+Premissas!$B$15&gt;=DATE(YEAR(Premissas!$B$11),MONTH(Premissas!$B$11)+1,Premissas!$B$16)),Premissas!$B$43,0)&gt;0),Premissas!$B$67*Premissas!$B$68,0)</f>
        <v>-0</v>
      </c>
      <c r="R59" s="13" t="n">
        <f aca="false">E59+F59+SUM(I59:Q59)</f>
        <v>0</v>
      </c>
      <c r="S59" s="13" t="n">
        <f aca="false">S58+R59</f>
        <v>1499.07771454867</v>
      </c>
      <c r="T59" s="16" t="n">
        <f aca="false">IF(AND($A59&gt;$B$100,S59&gt;=0),1,0)</f>
        <v>1</v>
      </c>
      <c r="U59" s="13" t="n">
        <f aca="false">S59-SUM($E$5:E59)-(1+Premissas!$B$17)*SUM($C$5:C59)</f>
        <v>1442.16271454867</v>
      </c>
      <c r="V59" s="13" t="n">
        <f aca="false">(G59+H59)*Premissas!$B$21</f>
        <v>0</v>
      </c>
      <c r="W59" s="16" t="n">
        <f aca="false">IF(V59&gt;0,DATE(YEAR(B59),MONTH(B59)+1,Premissas!$B$16)-Premissas!$B$11+1-Premissas!$B$15,0)</f>
        <v>0</v>
      </c>
      <c r="X59" s="13" t="n">
        <f aca="false">X58-Y58+C59*(1+Premissas!$B$17)</f>
        <v>0</v>
      </c>
      <c r="Y59" s="13" t="n">
        <f aca="false">IF(OR(X59&gt;=Premissas!$B$13,B59=DATE(YEAR(B59),MONTH(B59)+1,0)),X59,0)</f>
        <v>0</v>
      </c>
      <c r="Z59" s="13" t="n">
        <f aca="false">Z58-AA58+C59/Premissas!$B$18*Premissas!$B$20</f>
        <v>0</v>
      </c>
      <c r="AA59" s="13" t="n">
        <f aca="false">IF(OR(Z59&gt;=Premissas!$B$14,B59=DATE(YEAR(B59),MONTH(B59)+1,0)),Z59,0)</f>
        <v>0</v>
      </c>
      <c r="AB59" s="16" t="n">
        <f aca="false">IF(AA59&gt;0,IF(DAY(B59)&lt;=Premissas!$B$12,DATE(YEAR(B59),MONTH(B59),Premissas!$B$16),DATE(YEAR(B59),MONTH(B59)+1,Premissas!$B$16))-Premissas!$B$11+1-Premissas!$B$15,0)</f>
        <v>0</v>
      </c>
    </row>
    <row r="60" customFormat="false" ht="15" hidden="false" customHeight="true" outlineLevel="0" collapsed="false">
      <c r="A60" s="16" t="n">
        <v>56</v>
      </c>
      <c r="B60" s="31" t="n">
        <f aca="false">Premissas!$B$11+A60-1</f>
        <v>46373</v>
      </c>
      <c r="C60" s="13" t="n">
        <f aca="false">IF(A60&lt;=Premissas!$B$7,Premissas!$B$6/Premissas!$B$7,IF(A60&lt;=Premissas!$B$7+Premissas!$B$8,0,IF(A60&lt;=Premissas!$B$7+Premissas!$B$8+Premissas!$B$10,Premissas!$B$9/Premissas!$B$10,0)))</f>
        <v>0</v>
      </c>
      <c r="D60" s="16" t="n">
        <f aca="false">IF(Y60&gt;0,IF(DAY(B60)&lt;=Premissas!$B$12,DATE(YEAR(B60),MONTH(B60),Premissas!$B$16),DATE(YEAR(B60),MONTH(B60)+1,Premissas!$B$16))-Premissas!$B$11+1-Premissas!$B$15,0)</f>
        <v>0</v>
      </c>
      <c r="E60" s="13" t="n">
        <f aca="false">-SUMIF($D$5:$D$94,A60,$Y$5:$Y$94)</f>
        <v>-0</v>
      </c>
      <c r="F60" s="13" t="n">
        <f aca="false">-SUMIF($W$5:$W$94,A60,$V$5:$V$94)-SUMIF($AB$5:$AB$94,A60,$AA$5:$AA$94)</f>
        <v>-0</v>
      </c>
      <c r="G60" s="30" t="n">
        <f aca="false">C60/Premissas!$B$18*Premissas!$B$19*Premissas!$B$23</f>
        <v>0</v>
      </c>
      <c r="H60" s="30" t="n">
        <f aca="false">C60/Premissas!$B$18*Premissas!$B$19*Premissas!$B$24</f>
        <v>0</v>
      </c>
      <c r="I60" s="13" t="n">
        <f aca="false">-IF($A60-(Premissas!$B$60)&gt;=1,INDEX($G$5:$G$94,$A60-(Premissas!$B$60)),0)*(Premissas!$B$59*Unitário!$B$22+(Premissas!$B$61*Unitário!$B$24+Premissas!$B$63*Unitário!$B$25))</f>
        <v>-0</v>
      </c>
      <c r="J60" s="13" t="n">
        <f aca="false">IF($A60-(Premissas!$B$54)&gt;=1,INDEX($G$5:$G$94,$A60-(Premissas!$B$54)),0)*Premissas!$B$26*((Premissas!$B$59*Unitário!$B$22+(Premissas!$B$61*Unitário!$B$24+Premissas!$B$63*Unitário!$B$25))-Premissas!$B$39)</f>
        <v>0</v>
      </c>
      <c r="K60" s="13" t="n">
        <f aca="false">IF($A60-(Premissas!$B$54+Premissas!$B$57)&gt;=1,INDEX($G$5:$G$94,$A60-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60" s="13" t="n">
        <f aca="false">IF($A60-(Premissas!$B$54+Premissas!$B$55)&gt;=1,INDEX($G$5:$G$94,$A60-(Premissas!$B$54+Premissas!$B$55)),0)*Unitário!$B$21*(Premissas!$B$51-(1-Premissas!$B$61)*Unitário!$B$24-(1-Premissas!$B$63)*Unitário!$B$25-(1-Premissas!$B$59)*Unitário!$B$22)</f>
        <v>0</v>
      </c>
      <c r="M60" s="13" t="n">
        <f aca="false">IF($A60-(Premissas!$B$56)&gt;=1,INDEX($H$5:$H$94,$A60-(Premissas!$B$56)),0)*(Premissas!$B$52-Unitário!$B$27)</f>
        <v>0</v>
      </c>
      <c r="N60" s="13" t="n">
        <f aca="false">-IF($A60-(Premissas!$B$60)&gt;=1,INDEX($H$5:$H$94,$A60-(Premissas!$B$60)),0)*(Premissas!$B$59*Unitário!$B$22+Premissas!$B$31)</f>
        <v>-0</v>
      </c>
      <c r="O60" s="13" t="n">
        <f aca="false">IF($A60-(Premissas!$B$54+Premissas!$B$57)&gt;=1,INDEX($H$5:$H$94,$A60-(Premissas!$B$54+Premissas!$B$57)),0)*Premissas!$B$27*(-Premissas!$B$52-Premissas!$B$41+Unitário!$B$27+(1-Premissas!$B$62)*Premissas!$B$31+Premissas!$B$59*Unitário!$B$22)</f>
        <v>-0</v>
      </c>
      <c r="P60" s="13" t="n">
        <f aca="false">-Premissas!$B$42*(IF($A60-(Premissas!$B$54+Premissas!$B$55)&gt;=1,INDEX($G$5:$G$94,$A60-(Premissas!$B$54+Premissas!$B$55)),0)*Unitário!$B$21*Premissas!$B$51+IF($A60-(Premissas!$B$56)&gt;=1,INDEX($H$5:$H$94,$A60-(Premissas!$B$56)),0)*(1-Premissas!$B$27)*Premissas!$B$52)</f>
        <v>-0</v>
      </c>
      <c r="Q60" s="13" t="n">
        <f aca="false">-IF(AND(DAY(B60+Premissas!$B$15)=Premissas!$B$16,B60+Premissas!$B$15&gt;=DATE(YEAR(Premissas!$B$11),MONTH(Premissas!$B$11)+1,Premissas!$B$16)),Premissas!$B$43,0)-IF(OR(E60&lt;0,F60&lt;0,IF(AND(DAY(B60+Premissas!$B$15)=Premissas!$B$16,B60+Premissas!$B$15&gt;=DATE(YEAR(Premissas!$B$11),MONTH(Premissas!$B$11)+1,Premissas!$B$16)),Premissas!$B$43,0)&gt;0),Premissas!$B$67*Premissas!$B$68,0)</f>
        <v>-0</v>
      </c>
      <c r="R60" s="13" t="n">
        <f aca="false">E60+F60+SUM(I60:Q60)</f>
        <v>0</v>
      </c>
      <c r="S60" s="13" t="n">
        <f aca="false">S59+R60</f>
        <v>1499.07771454867</v>
      </c>
      <c r="T60" s="16" t="n">
        <f aca="false">IF(AND($A60&gt;$B$100,S60&gt;=0),1,0)</f>
        <v>1</v>
      </c>
      <c r="U60" s="13" t="n">
        <f aca="false">S60-SUM($E$5:E60)-(1+Premissas!$B$17)*SUM($C$5:C60)</f>
        <v>1442.16271454867</v>
      </c>
      <c r="V60" s="13" t="n">
        <f aca="false">(G60+H60)*Premissas!$B$21</f>
        <v>0</v>
      </c>
      <c r="W60" s="16" t="n">
        <f aca="false">IF(V60&gt;0,DATE(YEAR(B60),MONTH(B60)+1,Premissas!$B$16)-Premissas!$B$11+1-Premissas!$B$15,0)</f>
        <v>0</v>
      </c>
      <c r="X60" s="13" t="n">
        <f aca="false">X59-Y59+C60*(1+Premissas!$B$17)</f>
        <v>0</v>
      </c>
      <c r="Y60" s="13" t="n">
        <f aca="false">IF(OR(X60&gt;=Premissas!$B$13,B60=DATE(YEAR(B60),MONTH(B60)+1,0)),X60,0)</f>
        <v>0</v>
      </c>
      <c r="Z60" s="13" t="n">
        <f aca="false">Z59-AA59+C60/Premissas!$B$18*Premissas!$B$20</f>
        <v>0</v>
      </c>
      <c r="AA60" s="13" t="n">
        <f aca="false">IF(OR(Z60&gt;=Premissas!$B$14,B60=DATE(YEAR(B60),MONTH(B60)+1,0)),Z60,0)</f>
        <v>0</v>
      </c>
      <c r="AB60" s="16" t="n">
        <f aca="false">IF(AA60&gt;0,IF(DAY(B60)&lt;=Premissas!$B$12,DATE(YEAR(B60),MONTH(B60),Premissas!$B$16),DATE(YEAR(B60),MONTH(B60)+1,Premissas!$B$16))-Premissas!$B$11+1-Premissas!$B$15,0)</f>
        <v>0</v>
      </c>
    </row>
    <row r="61" customFormat="false" ht="15" hidden="false" customHeight="true" outlineLevel="0" collapsed="false">
      <c r="A61" s="16" t="n">
        <v>57</v>
      </c>
      <c r="B61" s="31" t="n">
        <f aca="false">Premissas!$B$11+A61-1</f>
        <v>46374</v>
      </c>
      <c r="C61" s="13" t="n">
        <f aca="false">IF(A61&lt;=Premissas!$B$7,Premissas!$B$6/Premissas!$B$7,IF(A61&lt;=Premissas!$B$7+Premissas!$B$8,0,IF(A61&lt;=Premissas!$B$7+Premissas!$B$8+Premissas!$B$10,Premissas!$B$9/Premissas!$B$10,0)))</f>
        <v>0</v>
      </c>
      <c r="D61" s="16" t="n">
        <f aca="false">IF(Y61&gt;0,IF(DAY(B61)&lt;=Premissas!$B$12,DATE(YEAR(B61),MONTH(B61),Premissas!$B$16),DATE(YEAR(B61),MONTH(B61)+1,Premissas!$B$16))-Premissas!$B$11+1-Premissas!$B$15,0)</f>
        <v>0</v>
      </c>
      <c r="E61" s="13" t="n">
        <f aca="false">-SUMIF($D$5:$D$94,A61,$Y$5:$Y$94)</f>
        <v>-0</v>
      </c>
      <c r="F61" s="13" t="n">
        <f aca="false">-SUMIF($W$5:$W$94,A61,$V$5:$V$94)-SUMIF($AB$5:$AB$94,A61,$AA$5:$AA$94)</f>
        <v>-0</v>
      </c>
      <c r="G61" s="30" t="n">
        <f aca="false">C61/Premissas!$B$18*Premissas!$B$19*Premissas!$B$23</f>
        <v>0</v>
      </c>
      <c r="H61" s="30" t="n">
        <f aca="false">C61/Premissas!$B$18*Premissas!$B$19*Premissas!$B$24</f>
        <v>0</v>
      </c>
      <c r="I61" s="13" t="n">
        <f aca="false">-IF($A61-(Premissas!$B$60)&gt;=1,INDEX($G$5:$G$94,$A61-(Premissas!$B$60)),0)*(Premissas!$B$59*Unitário!$B$22+(Premissas!$B$61*Unitário!$B$24+Premissas!$B$63*Unitário!$B$25))</f>
        <v>-0</v>
      </c>
      <c r="J61" s="13" t="n">
        <f aca="false">IF($A61-(Premissas!$B$54)&gt;=1,INDEX($G$5:$G$94,$A61-(Premissas!$B$54)),0)*Premissas!$B$26*((Premissas!$B$59*Unitário!$B$22+(Premissas!$B$61*Unitário!$B$24+Premissas!$B$63*Unitário!$B$25))-Premissas!$B$39)</f>
        <v>0</v>
      </c>
      <c r="K61" s="13" t="n">
        <f aca="false">IF($A61-(Premissas!$B$54+Premissas!$B$57)&gt;=1,INDEX($G$5:$G$94,$A61-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61" s="13" t="n">
        <f aca="false">IF($A61-(Premissas!$B$54+Premissas!$B$55)&gt;=1,INDEX($G$5:$G$94,$A61-(Premissas!$B$54+Premissas!$B$55)),0)*Unitário!$B$21*(Premissas!$B$51-(1-Premissas!$B$61)*Unitário!$B$24-(1-Premissas!$B$63)*Unitário!$B$25-(1-Premissas!$B$59)*Unitário!$B$22)</f>
        <v>0</v>
      </c>
      <c r="M61" s="13" t="n">
        <f aca="false">IF($A61-(Premissas!$B$56)&gt;=1,INDEX($H$5:$H$94,$A61-(Premissas!$B$56)),0)*(Premissas!$B$52-Unitário!$B$27)</f>
        <v>0</v>
      </c>
      <c r="N61" s="13" t="n">
        <f aca="false">-IF($A61-(Premissas!$B$60)&gt;=1,INDEX($H$5:$H$94,$A61-(Premissas!$B$60)),0)*(Premissas!$B$59*Unitário!$B$22+Premissas!$B$31)</f>
        <v>-0</v>
      </c>
      <c r="O61" s="13" t="n">
        <f aca="false">IF($A61-(Premissas!$B$54+Premissas!$B$57)&gt;=1,INDEX($H$5:$H$94,$A61-(Premissas!$B$54+Premissas!$B$57)),0)*Premissas!$B$27*(-Premissas!$B$52-Premissas!$B$41+Unitário!$B$27+(1-Premissas!$B$62)*Premissas!$B$31+Premissas!$B$59*Unitário!$B$22)</f>
        <v>-0</v>
      </c>
      <c r="P61" s="13" t="n">
        <f aca="false">-Premissas!$B$42*(IF($A61-(Premissas!$B$54+Premissas!$B$55)&gt;=1,INDEX($G$5:$G$94,$A61-(Premissas!$B$54+Premissas!$B$55)),0)*Unitário!$B$21*Premissas!$B$51+IF($A61-(Premissas!$B$56)&gt;=1,INDEX($H$5:$H$94,$A61-(Premissas!$B$56)),0)*(1-Premissas!$B$27)*Premissas!$B$52)</f>
        <v>-0</v>
      </c>
      <c r="Q61" s="13" t="n">
        <f aca="false">-IF(AND(DAY(B61+Premissas!$B$15)=Premissas!$B$16,B61+Premissas!$B$15&gt;=DATE(YEAR(Premissas!$B$11),MONTH(Premissas!$B$11)+1,Premissas!$B$16)),Premissas!$B$43,0)-IF(OR(E61&lt;0,F61&lt;0,IF(AND(DAY(B61+Premissas!$B$15)=Premissas!$B$16,B61+Premissas!$B$15&gt;=DATE(YEAR(Premissas!$B$11),MONTH(Premissas!$B$11)+1,Premissas!$B$16)),Premissas!$B$43,0)&gt;0),Premissas!$B$67*Premissas!$B$68,0)</f>
        <v>-0</v>
      </c>
      <c r="R61" s="13" t="n">
        <f aca="false">E61+F61+SUM(I61:Q61)</f>
        <v>0</v>
      </c>
      <c r="S61" s="13" t="n">
        <f aca="false">S60+R61</f>
        <v>1499.07771454867</v>
      </c>
      <c r="T61" s="16" t="n">
        <f aca="false">IF(AND($A61&gt;$B$100,S61&gt;=0),1,0)</f>
        <v>1</v>
      </c>
      <c r="U61" s="13" t="n">
        <f aca="false">S61-SUM($E$5:E61)-(1+Premissas!$B$17)*SUM($C$5:C61)</f>
        <v>1442.16271454867</v>
      </c>
      <c r="V61" s="13" t="n">
        <f aca="false">(G61+H61)*Premissas!$B$21</f>
        <v>0</v>
      </c>
      <c r="W61" s="16" t="n">
        <f aca="false">IF(V61&gt;0,DATE(YEAR(B61),MONTH(B61)+1,Premissas!$B$16)-Premissas!$B$11+1-Premissas!$B$15,0)</f>
        <v>0</v>
      </c>
      <c r="X61" s="13" t="n">
        <f aca="false">X60-Y60+C61*(1+Premissas!$B$17)</f>
        <v>0</v>
      </c>
      <c r="Y61" s="13" t="n">
        <f aca="false">IF(OR(X61&gt;=Premissas!$B$13,B61=DATE(YEAR(B61),MONTH(B61)+1,0)),X61,0)</f>
        <v>0</v>
      </c>
      <c r="Z61" s="13" t="n">
        <f aca="false">Z60-AA60+C61/Premissas!$B$18*Premissas!$B$20</f>
        <v>0</v>
      </c>
      <c r="AA61" s="13" t="n">
        <f aca="false">IF(OR(Z61&gt;=Premissas!$B$14,B61=DATE(YEAR(B61),MONTH(B61)+1,0)),Z61,0)</f>
        <v>0</v>
      </c>
      <c r="AB61" s="16" t="n">
        <f aca="false">IF(AA61&gt;0,IF(DAY(B61)&lt;=Premissas!$B$12,DATE(YEAR(B61),MONTH(B61),Premissas!$B$16),DATE(YEAR(B61),MONTH(B61)+1,Premissas!$B$16))-Premissas!$B$11+1-Premissas!$B$15,0)</f>
        <v>0</v>
      </c>
    </row>
    <row r="62" customFormat="false" ht="15" hidden="false" customHeight="true" outlineLevel="0" collapsed="false">
      <c r="A62" s="16" t="n">
        <v>58</v>
      </c>
      <c r="B62" s="31" t="n">
        <f aca="false">Premissas!$B$11+A62-1</f>
        <v>46375</v>
      </c>
      <c r="C62" s="13" t="n">
        <f aca="false">IF(A62&lt;=Premissas!$B$7,Premissas!$B$6/Premissas!$B$7,IF(A62&lt;=Premissas!$B$7+Premissas!$B$8,0,IF(A62&lt;=Premissas!$B$7+Premissas!$B$8+Premissas!$B$10,Premissas!$B$9/Premissas!$B$10,0)))</f>
        <v>0</v>
      </c>
      <c r="D62" s="16" t="n">
        <f aca="false">IF(Y62&gt;0,IF(DAY(B62)&lt;=Premissas!$B$12,DATE(YEAR(B62),MONTH(B62),Premissas!$B$16),DATE(YEAR(B62),MONTH(B62)+1,Premissas!$B$16))-Premissas!$B$11+1-Premissas!$B$15,0)</f>
        <v>0</v>
      </c>
      <c r="E62" s="13" t="n">
        <f aca="false">-SUMIF($D$5:$D$94,A62,$Y$5:$Y$94)</f>
        <v>-0</v>
      </c>
      <c r="F62" s="13" t="n">
        <f aca="false">-SUMIF($W$5:$W$94,A62,$V$5:$V$94)-SUMIF($AB$5:$AB$94,A62,$AA$5:$AA$94)</f>
        <v>-0</v>
      </c>
      <c r="G62" s="30" t="n">
        <f aca="false">C62/Premissas!$B$18*Premissas!$B$19*Premissas!$B$23</f>
        <v>0</v>
      </c>
      <c r="H62" s="30" t="n">
        <f aca="false">C62/Premissas!$B$18*Premissas!$B$19*Premissas!$B$24</f>
        <v>0</v>
      </c>
      <c r="I62" s="13" t="n">
        <f aca="false">-IF($A62-(Premissas!$B$60)&gt;=1,INDEX($G$5:$G$94,$A62-(Premissas!$B$60)),0)*(Premissas!$B$59*Unitário!$B$22+(Premissas!$B$61*Unitário!$B$24+Premissas!$B$63*Unitário!$B$25))</f>
        <v>-0</v>
      </c>
      <c r="J62" s="13" t="n">
        <f aca="false">IF($A62-(Premissas!$B$54)&gt;=1,INDEX($G$5:$G$94,$A62-(Premissas!$B$54)),0)*Premissas!$B$26*((Premissas!$B$59*Unitário!$B$22+(Premissas!$B$61*Unitário!$B$24+Premissas!$B$63*Unitário!$B$25))-Premissas!$B$39)</f>
        <v>0</v>
      </c>
      <c r="K62" s="13" t="n">
        <f aca="false">IF($A62-(Premissas!$B$54+Premissas!$B$57)&gt;=1,INDEX($G$5:$G$94,$A62-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62" s="13" t="n">
        <f aca="false">IF($A62-(Premissas!$B$54+Premissas!$B$55)&gt;=1,INDEX($G$5:$G$94,$A62-(Premissas!$B$54+Premissas!$B$55)),0)*Unitário!$B$21*(Premissas!$B$51-(1-Premissas!$B$61)*Unitário!$B$24-(1-Premissas!$B$63)*Unitário!$B$25-(1-Premissas!$B$59)*Unitário!$B$22)</f>
        <v>0</v>
      </c>
      <c r="M62" s="13" t="n">
        <f aca="false">IF($A62-(Premissas!$B$56)&gt;=1,INDEX($H$5:$H$94,$A62-(Premissas!$B$56)),0)*(Premissas!$B$52-Unitário!$B$27)</f>
        <v>0</v>
      </c>
      <c r="N62" s="13" t="n">
        <f aca="false">-IF($A62-(Premissas!$B$60)&gt;=1,INDEX($H$5:$H$94,$A62-(Premissas!$B$60)),0)*(Premissas!$B$59*Unitário!$B$22+Premissas!$B$31)</f>
        <v>-0</v>
      </c>
      <c r="O62" s="13" t="n">
        <f aca="false">IF($A62-(Premissas!$B$54+Premissas!$B$57)&gt;=1,INDEX($H$5:$H$94,$A62-(Premissas!$B$54+Premissas!$B$57)),0)*Premissas!$B$27*(-Premissas!$B$52-Premissas!$B$41+Unitário!$B$27+(1-Premissas!$B$62)*Premissas!$B$31+Premissas!$B$59*Unitário!$B$22)</f>
        <v>-0</v>
      </c>
      <c r="P62" s="13" t="n">
        <f aca="false">-Premissas!$B$42*(IF($A62-(Premissas!$B$54+Premissas!$B$55)&gt;=1,INDEX($G$5:$G$94,$A62-(Premissas!$B$54+Premissas!$B$55)),0)*Unitário!$B$21*Premissas!$B$51+IF($A62-(Premissas!$B$56)&gt;=1,INDEX($H$5:$H$94,$A62-(Premissas!$B$56)),0)*(1-Premissas!$B$27)*Premissas!$B$52)</f>
        <v>-0</v>
      </c>
      <c r="Q62" s="13" t="n">
        <f aca="false">-IF(AND(DAY(B62+Premissas!$B$15)=Premissas!$B$16,B62+Premissas!$B$15&gt;=DATE(YEAR(Premissas!$B$11),MONTH(Premissas!$B$11)+1,Premissas!$B$16)),Premissas!$B$43,0)-IF(OR(E62&lt;0,F62&lt;0,IF(AND(DAY(B62+Premissas!$B$15)=Premissas!$B$16,B62+Premissas!$B$15&gt;=DATE(YEAR(Premissas!$B$11),MONTH(Premissas!$B$11)+1,Premissas!$B$16)),Premissas!$B$43,0)&gt;0),Premissas!$B$67*Premissas!$B$68,0)</f>
        <v>-0</v>
      </c>
      <c r="R62" s="13" t="n">
        <f aca="false">E62+F62+SUM(I62:Q62)</f>
        <v>0</v>
      </c>
      <c r="S62" s="13" t="n">
        <f aca="false">S61+R62</f>
        <v>1499.07771454867</v>
      </c>
      <c r="T62" s="16" t="n">
        <f aca="false">IF(AND($A62&gt;$B$100,S62&gt;=0),1,0)</f>
        <v>1</v>
      </c>
      <c r="U62" s="13" t="n">
        <f aca="false">S62-SUM($E$5:E62)-(1+Premissas!$B$17)*SUM($C$5:C62)</f>
        <v>1442.16271454867</v>
      </c>
      <c r="V62" s="13" t="n">
        <f aca="false">(G62+H62)*Premissas!$B$21</f>
        <v>0</v>
      </c>
      <c r="W62" s="16" t="n">
        <f aca="false">IF(V62&gt;0,DATE(YEAR(B62),MONTH(B62)+1,Premissas!$B$16)-Premissas!$B$11+1-Premissas!$B$15,0)</f>
        <v>0</v>
      </c>
      <c r="X62" s="13" t="n">
        <f aca="false">X61-Y61+C62*(1+Premissas!$B$17)</f>
        <v>0</v>
      </c>
      <c r="Y62" s="13" t="n">
        <f aca="false">IF(OR(X62&gt;=Premissas!$B$13,B62=DATE(YEAR(B62),MONTH(B62)+1,0)),X62,0)</f>
        <v>0</v>
      </c>
      <c r="Z62" s="13" t="n">
        <f aca="false">Z61-AA61+C62/Premissas!$B$18*Premissas!$B$20</f>
        <v>0</v>
      </c>
      <c r="AA62" s="13" t="n">
        <f aca="false">IF(OR(Z62&gt;=Premissas!$B$14,B62=DATE(YEAR(B62),MONTH(B62)+1,0)),Z62,0)</f>
        <v>0</v>
      </c>
      <c r="AB62" s="16" t="n">
        <f aca="false">IF(AA62&gt;0,IF(DAY(B62)&lt;=Premissas!$B$12,DATE(YEAR(B62),MONTH(B62),Premissas!$B$16),DATE(YEAR(B62),MONTH(B62)+1,Premissas!$B$16))-Premissas!$B$11+1-Premissas!$B$15,0)</f>
        <v>0</v>
      </c>
    </row>
    <row r="63" customFormat="false" ht="15" hidden="false" customHeight="true" outlineLevel="0" collapsed="false">
      <c r="A63" s="16" t="n">
        <v>59</v>
      </c>
      <c r="B63" s="31" t="n">
        <f aca="false">Premissas!$B$11+A63-1</f>
        <v>46376</v>
      </c>
      <c r="C63" s="13" t="n">
        <f aca="false">IF(A63&lt;=Premissas!$B$7,Premissas!$B$6/Premissas!$B$7,IF(A63&lt;=Premissas!$B$7+Premissas!$B$8,0,IF(A63&lt;=Premissas!$B$7+Premissas!$B$8+Premissas!$B$10,Premissas!$B$9/Premissas!$B$10,0)))</f>
        <v>0</v>
      </c>
      <c r="D63" s="16" t="n">
        <f aca="false">IF(Y63&gt;0,IF(DAY(B63)&lt;=Premissas!$B$12,DATE(YEAR(B63),MONTH(B63),Premissas!$B$16),DATE(YEAR(B63),MONTH(B63)+1,Premissas!$B$16))-Premissas!$B$11+1-Premissas!$B$15,0)</f>
        <v>0</v>
      </c>
      <c r="E63" s="13" t="n">
        <f aca="false">-SUMIF($D$5:$D$94,A63,$Y$5:$Y$94)</f>
        <v>-0</v>
      </c>
      <c r="F63" s="13" t="n">
        <f aca="false">-SUMIF($W$5:$W$94,A63,$V$5:$V$94)-SUMIF($AB$5:$AB$94,A63,$AA$5:$AA$94)</f>
        <v>-0</v>
      </c>
      <c r="G63" s="30" t="n">
        <f aca="false">C63/Premissas!$B$18*Premissas!$B$19*Premissas!$B$23</f>
        <v>0</v>
      </c>
      <c r="H63" s="30" t="n">
        <f aca="false">C63/Premissas!$B$18*Premissas!$B$19*Premissas!$B$24</f>
        <v>0</v>
      </c>
      <c r="I63" s="13" t="n">
        <f aca="false">-IF($A63-(Premissas!$B$60)&gt;=1,INDEX($G$5:$G$94,$A63-(Premissas!$B$60)),0)*(Premissas!$B$59*Unitário!$B$22+(Premissas!$B$61*Unitário!$B$24+Premissas!$B$63*Unitário!$B$25))</f>
        <v>-0</v>
      </c>
      <c r="J63" s="13" t="n">
        <f aca="false">IF($A63-(Premissas!$B$54)&gt;=1,INDEX($G$5:$G$94,$A63-(Premissas!$B$54)),0)*Premissas!$B$26*((Premissas!$B$59*Unitário!$B$22+(Premissas!$B$61*Unitário!$B$24+Premissas!$B$63*Unitário!$B$25))-Premissas!$B$39)</f>
        <v>0</v>
      </c>
      <c r="K63" s="13" t="n">
        <f aca="false">IF($A63-(Premissas!$B$54+Premissas!$B$57)&gt;=1,INDEX($G$5:$G$94,$A63-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63" s="13" t="n">
        <f aca="false">IF($A63-(Premissas!$B$54+Premissas!$B$55)&gt;=1,INDEX($G$5:$G$94,$A63-(Premissas!$B$54+Premissas!$B$55)),0)*Unitário!$B$21*(Premissas!$B$51-(1-Premissas!$B$61)*Unitário!$B$24-(1-Premissas!$B$63)*Unitário!$B$25-(1-Premissas!$B$59)*Unitário!$B$22)</f>
        <v>0</v>
      </c>
      <c r="M63" s="13" t="n">
        <f aca="false">IF($A63-(Premissas!$B$56)&gt;=1,INDEX($H$5:$H$94,$A63-(Premissas!$B$56)),0)*(Premissas!$B$52-Unitário!$B$27)</f>
        <v>0</v>
      </c>
      <c r="N63" s="13" t="n">
        <f aca="false">-IF($A63-(Premissas!$B$60)&gt;=1,INDEX($H$5:$H$94,$A63-(Premissas!$B$60)),0)*(Premissas!$B$59*Unitário!$B$22+Premissas!$B$31)</f>
        <v>-0</v>
      </c>
      <c r="O63" s="13" t="n">
        <f aca="false">IF($A63-(Premissas!$B$54+Premissas!$B$57)&gt;=1,INDEX($H$5:$H$94,$A63-(Premissas!$B$54+Premissas!$B$57)),0)*Premissas!$B$27*(-Premissas!$B$52-Premissas!$B$41+Unitário!$B$27+(1-Premissas!$B$62)*Premissas!$B$31+Premissas!$B$59*Unitário!$B$22)</f>
        <v>-0</v>
      </c>
      <c r="P63" s="13" t="n">
        <f aca="false">-Premissas!$B$42*(IF($A63-(Premissas!$B$54+Premissas!$B$55)&gt;=1,INDEX($G$5:$G$94,$A63-(Premissas!$B$54+Premissas!$B$55)),0)*Unitário!$B$21*Premissas!$B$51+IF($A63-(Premissas!$B$56)&gt;=1,INDEX($H$5:$H$94,$A63-(Premissas!$B$56)),0)*(1-Premissas!$B$27)*Premissas!$B$52)</f>
        <v>-0</v>
      </c>
      <c r="Q63" s="13" t="n">
        <f aca="false">-IF(AND(DAY(B63+Premissas!$B$15)=Premissas!$B$16,B63+Premissas!$B$15&gt;=DATE(YEAR(Premissas!$B$11),MONTH(Premissas!$B$11)+1,Premissas!$B$16)),Premissas!$B$43,0)-IF(OR(E63&lt;0,F63&lt;0,IF(AND(DAY(B63+Premissas!$B$15)=Premissas!$B$16,B63+Premissas!$B$15&gt;=DATE(YEAR(Premissas!$B$11),MONTH(Premissas!$B$11)+1,Premissas!$B$16)),Premissas!$B$43,0)&gt;0),Premissas!$B$67*Premissas!$B$68,0)</f>
        <v>-0</v>
      </c>
      <c r="R63" s="13" t="n">
        <f aca="false">E63+F63+SUM(I63:Q63)</f>
        <v>0</v>
      </c>
      <c r="S63" s="13" t="n">
        <f aca="false">S62+R63</f>
        <v>1499.07771454867</v>
      </c>
      <c r="T63" s="16" t="n">
        <f aca="false">IF(AND($A63&gt;$B$100,S63&gt;=0),1,0)</f>
        <v>1</v>
      </c>
      <c r="U63" s="13" t="n">
        <f aca="false">S63-SUM($E$5:E63)-(1+Premissas!$B$17)*SUM($C$5:C63)</f>
        <v>1442.16271454867</v>
      </c>
      <c r="V63" s="13" t="n">
        <f aca="false">(G63+H63)*Premissas!$B$21</f>
        <v>0</v>
      </c>
      <c r="W63" s="16" t="n">
        <f aca="false">IF(V63&gt;0,DATE(YEAR(B63),MONTH(B63)+1,Premissas!$B$16)-Premissas!$B$11+1-Premissas!$B$15,0)</f>
        <v>0</v>
      </c>
      <c r="X63" s="13" t="n">
        <f aca="false">X62-Y62+C63*(1+Premissas!$B$17)</f>
        <v>0</v>
      </c>
      <c r="Y63" s="13" t="n">
        <f aca="false">IF(OR(X63&gt;=Premissas!$B$13,B63=DATE(YEAR(B63),MONTH(B63)+1,0)),X63,0)</f>
        <v>0</v>
      </c>
      <c r="Z63" s="13" t="n">
        <f aca="false">Z62-AA62+C63/Premissas!$B$18*Premissas!$B$20</f>
        <v>0</v>
      </c>
      <c r="AA63" s="13" t="n">
        <f aca="false">IF(OR(Z63&gt;=Premissas!$B$14,B63=DATE(YEAR(B63),MONTH(B63)+1,0)),Z63,0)</f>
        <v>0</v>
      </c>
      <c r="AB63" s="16" t="n">
        <f aca="false">IF(AA63&gt;0,IF(DAY(B63)&lt;=Premissas!$B$12,DATE(YEAR(B63),MONTH(B63),Premissas!$B$16),DATE(YEAR(B63),MONTH(B63)+1,Premissas!$B$16))-Premissas!$B$11+1-Premissas!$B$15,0)</f>
        <v>0</v>
      </c>
    </row>
    <row r="64" customFormat="false" ht="15" hidden="false" customHeight="true" outlineLevel="0" collapsed="false">
      <c r="A64" s="16" t="n">
        <v>60</v>
      </c>
      <c r="B64" s="31" t="n">
        <f aca="false">Premissas!$B$11+A64-1</f>
        <v>46377</v>
      </c>
      <c r="C64" s="13" t="n">
        <f aca="false">IF(A64&lt;=Premissas!$B$7,Premissas!$B$6/Premissas!$B$7,IF(A64&lt;=Premissas!$B$7+Premissas!$B$8,0,IF(A64&lt;=Premissas!$B$7+Premissas!$B$8+Premissas!$B$10,Premissas!$B$9/Premissas!$B$10,0)))</f>
        <v>0</v>
      </c>
      <c r="D64" s="16" t="n">
        <f aca="false">IF(Y64&gt;0,IF(DAY(B64)&lt;=Premissas!$B$12,DATE(YEAR(B64),MONTH(B64),Premissas!$B$16),DATE(YEAR(B64),MONTH(B64)+1,Premissas!$B$16))-Premissas!$B$11+1-Premissas!$B$15,0)</f>
        <v>0</v>
      </c>
      <c r="E64" s="13" t="n">
        <f aca="false">-SUMIF($D$5:$D$94,A64,$Y$5:$Y$94)</f>
        <v>-0</v>
      </c>
      <c r="F64" s="13" t="n">
        <f aca="false">-SUMIF($W$5:$W$94,A64,$V$5:$V$94)-SUMIF($AB$5:$AB$94,A64,$AA$5:$AA$94)</f>
        <v>-0</v>
      </c>
      <c r="G64" s="30" t="n">
        <f aca="false">C64/Premissas!$B$18*Premissas!$B$19*Premissas!$B$23</f>
        <v>0</v>
      </c>
      <c r="H64" s="30" t="n">
        <f aca="false">C64/Premissas!$B$18*Premissas!$B$19*Premissas!$B$24</f>
        <v>0</v>
      </c>
      <c r="I64" s="13" t="n">
        <f aca="false">-IF($A64-(Premissas!$B$60)&gt;=1,INDEX($G$5:$G$94,$A64-(Premissas!$B$60)),0)*(Premissas!$B$59*Unitário!$B$22+(Premissas!$B$61*Unitário!$B$24+Premissas!$B$63*Unitário!$B$25))</f>
        <v>-0</v>
      </c>
      <c r="J64" s="13" t="n">
        <f aca="false">IF($A64-(Premissas!$B$54)&gt;=1,INDEX($G$5:$G$94,$A64-(Premissas!$B$54)),0)*Premissas!$B$26*((Premissas!$B$59*Unitário!$B$22+(Premissas!$B$61*Unitário!$B$24+Premissas!$B$63*Unitário!$B$25))-Premissas!$B$39)</f>
        <v>0</v>
      </c>
      <c r="K64" s="13" t="n">
        <f aca="false">IF($A64-(Premissas!$B$54+Premissas!$B$57)&gt;=1,INDEX($G$5:$G$94,$A64-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64" s="13" t="n">
        <f aca="false">IF($A64-(Premissas!$B$54+Premissas!$B$55)&gt;=1,INDEX($G$5:$G$94,$A64-(Premissas!$B$54+Premissas!$B$55)),0)*Unitário!$B$21*(Premissas!$B$51-(1-Premissas!$B$61)*Unitário!$B$24-(1-Premissas!$B$63)*Unitário!$B$25-(1-Premissas!$B$59)*Unitário!$B$22)</f>
        <v>0</v>
      </c>
      <c r="M64" s="13" t="n">
        <f aca="false">IF($A64-(Premissas!$B$56)&gt;=1,INDEX($H$5:$H$94,$A64-(Premissas!$B$56)),0)*(Premissas!$B$52-Unitário!$B$27)</f>
        <v>0</v>
      </c>
      <c r="N64" s="13" t="n">
        <f aca="false">-IF($A64-(Premissas!$B$60)&gt;=1,INDEX($H$5:$H$94,$A64-(Premissas!$B$60)),0)*(Premissas!$B$59*Unitário!$B$22+Premissas!$B$31)</f>
        <v>-0</v>
      </c>
      <c r="O64" s="13" t="n">
        <f aca="false">IF($A64-(Premissas!$B$54+Premissas!$B$57)&gt;=1,INDEX($H$5:$H$94,$A64-(Premissas!$B$54+Premissas!$B$57)),0)*Premissas!$B$27*(-Premissas!$B$52-Premissas!$B$41+Unitário!$B$27+(1-Premissas!$B$62)*Premissas!$B$31+Premissas!$B$59*Unitário!$B$22)</f>
        <v>-0</v>
      </c>
      <c r="P64" s="13" t="n">
        <f aca="false">-Premissas!$B$42*(IF($A64-(Premissas!$B$54+Premissas!$B$55)&gt;=1,INDEX($G$5:$G$94,$A64-(Premissas!$B$54+Premissas!$B$55)),0)*Unitário!$B$21*Premissas!$B$51+IF($A64-(Premissas!$B$56)&gt;=1,INDEX($H$5:$H$94,$A64-(Premissas!$B$56)),0)*(1-Premissas!$B$27)*Premissas!$B$52)</f>
        <v>-0</v>
      </c>
      <c r="Q64" s="13" t="n">
        <f aca="false">-IF(AND(DAY(B64+Premissas!$B$15)=Premissas!$B$16,B64+Premissas!$B$15&gt;=DATE(YEAR(Premissas!$B$11),MONTH(Premissas!$B$11)+1,Premissas!$B$16)),Premissas!$B$43,0)-IF(OR(E64&lt;0,F64&lt;0,IF(AND(DAY(B64+Premissas!$B$15)=Premissas!$B$16,B64+Premissas!$B$15&gt;=DATE(YEAR(Premissas!$B$11),MONTH(Premissas!$B$11)+1,Premissas!$B$16)),Premissas!$B$43,0)&gt;0),Premissas!$B$67*Premissas!$B$68,0)</f>
        <v>-0</v>
      </c>
      <c r="R64" s="13" t="n">
        <f aca="false">E64+F64+SUM(I64:Q64)</f>
        <v>0</v>
      </c>
      <c r="S64" s="13" t="n">
        <f aca="false">S63+R64</f>
        <v>1499.07771454867</v>
      </c>
      <c r="T64" s="16" t="n">
        <f aca="false">IF(AND($A64&gt;$B$100,S64&gt;=0),1,0)</f>
        <v>1</v>
      </c>
      <c r="U64" s="13" t="n">
        <f aca="false">S64-SUM($E$5:E64)-(1+Premissas!$B$17)*SUM($C$5:C64)</f>
        <v>1442.16271454867</v>
      </c>
      <c r="V64" s="13" t="n">
        <f aca="false">(G64+H64)*Premissas!$B$21</f>
        <v>0</v>
      </c>
      <c r="W64" s="16" t="n">
        <f aca="false">IF(V64&gt;0,DATE(YEAR(B64),MONTH(B64)+1,Premissas!$B$16)-Premissas!$B$11+1-Premissas!$B$15,0)</f>
        <v>0</v>
      </c>
      <c r="X64" s="13" t="n">
        <f aca="false">X63-Y63+C64*(1+Premissas!$B$17)</f>
        <v>0</v>
      </c>
      <c r="Y64" s="13" t="n">
        <f aca="false">IF(OR(X64&gt;=Premissas!$B$13,B64=DATE(YEAR(B64),MONTH(B64)+1,0)),X64,0)</f>
        <v>0</v>
      </c>
      <c r="Z64" s="13" t="n">
        <f aca="false">Z63-AA63+C64/Premissas!$B$18*Premissas!$B$20</f>
        <v>0</v>
      </c>
      <c r="AA64" s="13" t="n">
        <f aca="false">IF(OR(Z64&gt;=Premissas!$B$14,B64=DATE(YEAR(B64),MONTH(B64)+1,0)),Z64,0)</f>
        <v>0</v>
      </c>
      <c r="AB64" s="16" t="n">
        <f aca="false">IF(AA64&gt;0,IF(DAY(B64)&lt;=Premissas!$B$12,DATE(YEAR(B64),MONTH(B64),Premissas!$B$16),DATE(YEAR(B64),MONTH(B64)+1,Premissas!$B$16))-Premissas!$B$11+1-Premissas!$B$15,0)</f>
        <v>0</v>
      </c>
    </row>
    <row r="65" customFormat="false" ht="15" hidden="false" customHeight="true" outlineLevel="0" collapsed="false">
      <c r="A65" s="16" t="n">
        <v>61</v>
      </c>
      <c r="B65" s="31" t="n">
        <f aca="false">Premissas!$B$11+A65-1</f>
        <v>46378</v>
      </c>
      <c r="C65" s="13" t="n">
        <f aca="false">IF(A65&lt;=Premissas!$B$7,Premissas!$B$6/Premissas!$B$7,IF(A65&lt;=Premissas!$B$7+Premissas!$B$8,0,IF(A65&lt;=Premissas!$B$7+Premissas!$B$8+Premissas!$B$10,Premissas!$B$9/Premissas!$B$10,0)))</f>
        <v>0</v>
      </c>
      <c r="D65" s="16" t="n">
        <f aca="false">IF(Y65&gt;0,IF(DAY(B65)&lt;=Premissas!$B$12,DATE(YEAR(B65),MONTH(B65),Premissas!$B$16),DATE(YEAR(B65),MONTH(B65)+1,Premissas!$B$16))-Premissas!$B$11+1-Premissas!$B$15,0)</f>
        <v>0</v>
      </c>
      <c r="E65" s="13" t="n">
        <f aca="false">-SUMIF($D$5:$D$94,A65,$Y$5:$Y$94)</f>
        <v>-0</v>
      </c>
      <c r="F65" s="13" t="n">
        <f aca="false">-SUMIF($W$5:$W$94,A65,$V$5:$V$94)-SUMIF($AB$5:$AB$94,A65,$AA$5:$AA$94)</f>
        <v>-0</v>
      </c>
      <c r="G65" s="30" t="n">
        <f aca="false">C65/Premissas!$B$18*Premissas!$B$19*Premissas!$B$23</f>
        <v>0</v>
      </c>
      <c r="H65" s="30" t="n">
        <f aca="false">C65/Premissas!$B$18*Premissas!$B$19*Premissas!$B$24</f>
        <v>0</v>
      </c>
      <c r="I65" s="13" t="n">
        <f aca="false">-IF($A65-(Premissas!$B$60)&gt;=1,INDEX($G$5:$G$94,$A65-(Premissas!$B$60)),0)*(Premissas!$B$59*Unitário!$B$22+(Premissas!$B$61*Unitário!$B$24+Premissas!$B$63*Unitário!$B$25))</f>
        <v>-0</v>
      </c>
      <c r="J65" s="13" t="n">
        <f aca="false">IF($A65-(Premissas!$B$54)&gt;=1,INDEX($G$5:$G$94,$A65-(Premissas!$B$54)),0)*Premissas!$B$26*((Premissas!$B$59*Unitário!$B$22+(Premissas!$B$61*Unitário!$B$24+Premissas!$B$63*Unitário!$B$25))-Premissas!$B$39)</f>
        <v>0</v>
      </c>
      <c r="K65" s="13" t="n">
        <f aca="false">IF($A65-(Premissas!$B$54+Premissas!$B$57)&gt;=1,INDEX($G$5:$G$94,$A65-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65" s="13" t="n">
        <f aca="false">IF($A65-(Premissas!$B$54+Premissas!$B$55)&gt;=1,INDEX($G$5:$G$94,$A65-(Premissas!$B$54+Premissas!$B$55)),0)*Unitário!$B$21*(Premissas!$B$51-(1-Premissas!$B$61)*Unitário!$B$24-(1-Premissas!$B$63)*Unitário!$B$25-(1-Premissas!$B$59)*Unitário!$B$22)</f>
        <v>0</v>
      </c>
      <c r="M65" s="13" t="n">
        <f aca="false">IF($A65-(Premissas!$B$56)&gt;=1,INDEX($H$5:$H$94,$A65-(Premissas!$B$56)),0)*(Premissas!$B$52-Unitário!$B$27)</f>
        <v>0</v>
      </c>
      <c r="N65" s="13" t="n">
        <f aca="false">-IF($A65-(Premissas!$B$60)&gt;=1,INDEX($H$5:$H$94,$A65-(Premissas!$B$60)),0)*(Premissas!$B$59*Unitário!$B$22+Premissas!$B$31)</f>
        <v>-0</v>
      </c>
      <c r="O65" s="13" t="n">
        <f aca="false">IF($A65-(Premissas!$B$54+Premissas!$B$57)&gt;=1,INDEX($H$5:$H$94,$A65-(Premissas!$B$54+Premissas!$B$57)),0)*Premissas!$B$27*(-Premissas!$B$52-Premissas!$B$41+Unitário!$B$27+(1-Premissas!$B$62)*Premissas!$B$31+Premissas!$B$59*Unitário!$B$22)</f>
        <v>-0</v>
      </c>
      <c r="P65" s="13" t="n">
        <f aca="false">-Premissas!$B$42*(IF($A65-(Premissas!$B$54+Premissas!$B$55)&gt;=1,INDEX($G$5:$G$94,$A65-(Premissas!$B$54+Premissas!$B$55)),0)*Unitário!$B$21*Premissas!$B$51+IF($A65-(Premissas!$B$56)&gt;=1,INDEX($H$5:$H$94,$A65-(Premissas!$B$56)),0)*(1-Premissas!$B$27)*Premissas!$B$52)</f>
        <v>-0</v>
      </c>
      <c r="Q65" s="13" t="n">
        <f aca="false">-IF(AND(DAY(B65+Premissas!$B$15)=Premissas!$B$16,B65+Premissas!$B$15&gt;=DATE(YEAR(Premissas!$B$11),MONTH(Premissas!$B$11)+1,Premissas!$B$16)),Premissas!$B$43,0)-IF(OR(E65&lt;0,F65&lt;0,IF(AND(DAY(B65+Premissas!$B$15)=Premissas!$B$16,B65+Premissas!$B$15&gt;=DATE(YEAR(Premissas!$B$11),MONTH(Premissas!$B$11)+1,Premissas!$B$16)),Premissas!$B$43,0)&gt;0),Premissas!$B$67*Premissas!$B$68,0)</f>
        <v>-0</v>
      </c>
      <c r="R65" s="13" t="n">
        <f aca="false">E65+F65+SUM(I65:Q65)</f>
        <v>0</v>
      </c>
      <c r="S65" s="13" t="n">
        <f aca="false">S64+R65</f>
        <v>1499.07771454867</v>
      </c>
      <c r="T65" s="16" t="n">
        <f aca="false">IF(AND($A65&gt;$B$100,S65&gt;=0),1,0)</f>
        <v>1</v>
      </c>
      <c r="U65" s="13" t="n">
        <f aca="false">S65-SUM($E$5:E65)-(1+Premissas!$B$17)*SUM($C$5:C65)</f>
        <v>1442.16271454867</v>
      </c>
      <c r="V65" s="13" t="n">
        <f aca="false">(G65+H65)*Premissas!$B$21</f>
        <v>0</v>
      </c>
      <c r="W65" s="16" t="n">
        <f aca="false">IF(V65&gt;0,DATE(YEAR(B65),MONTH(B65)+1,Premissas!$B$16)-Premissas!$B$11+1-Premissas!$B$15,0)</f>
        <v>0</v>
      </c>
      <c r="X65" s="13" t="n">
        <f aca="false">X64-Y64+C65*(1+Premissas!$B$17)</f>
        <v>0</v>
      </c>
      <c r="Y65" s="13" t="n">
        <f aca="false">IF(OR(X65&gt;=Premissas!$B$13,B65=DATE(YEAR(B65),MONTH(B65)+1,0)),X65,0)</f>
        <v>0</v>
      </c>
      <c r="Z65" s="13" t="n">
        <f aca="false">Z64-AA64+C65/Premissas!$B$18*Premissas!$B$20</f>
        <v>0</v>
      </c>
      <c r="AA65" s="13" t="n">
        <f aca="false">IF(OR(Z65&gt;=Premissas!$B$14,B65=DATE(YEAR(B65),MONTH(B65)+1,0)),Z65,0)</f>
        <v>0</v>
      </c>
      <c r="AB65" s="16" t="n">
        <f aca="false">IF(AA65&gt;0,IF(DAY(B65)&lt;=Premissas!$B$12,DATE(YEAR(B65),MONTH(B65),Premissas!$B$16),DATE(YEAR(B65),MONTH(B65)+1,Premissas!$B$16))-Premissas!$B$11+1-Premissas!$B$15,0)</f>
        <v>0</v>
      </c>
    </row>
    <row r="66" customFormat="false" ht="15" hidden="false" customHeight="true" outlineLevel="0" collapsed="false">
      <c r="A66" s="16" t="n">
        <v>62</v>
      </c>
      <c r="B66" s="31" t="n">
        <f aca="false">Premissas!$B$11+A66-1</f>
        <v>46379</v>
      </c>
      <c r="C66" s="13" t="n">
        <f aca="false">IF(A66&lt;=Premissas!$B$7,Premissas!$B$6/Premissas!$B$7,IF(A66&lt;=Premissas!$B$7+Premissas!$B$8,0,IF(A66&lt;=Premissas!$B$7+Premissas!$B$8+Premissas!$B$10,Premissas!$B$9/Premissas!$B$10,0)))</f>
        <v>0</v>
      </c>
      <c r="D66" s="16" t="n">
        <f aca="false">IF(Y66&gt;0,IF(DAY(B66)&lt;=Premissas!$B$12,DATE(YEAR(B66),MONTH(B66),Premissas!$B$16),DATE(YEAR(B66),MONTH(B66)+1,Premissas!$B$16))-Premissas!$B$11+1-Premissas!$B$15,0)</f>
        <v>0</v>
      </c>
      <c r="E66" s="13" t="n">
        <f aca="false">-SUMIF($D$5:$D$94,A66,$Y$5:$Y$94)</f>
        <v>-0</v>
      </c>
      <c r="F66" s="13" t="n">
        <f aca="false">-SUMIF($W$5:$W$94,A66,$V$5:$V$94)-SUMIF($AB$5:$AB$94,A66,$AA$5:$AA$94)</f>
        <v>-0</v>
      </c>
      <c r="G66" s="30" t="n">
        <f aca="false">C66/Premissas!$B$18*Premissas!$B$19*Premissas!$B$23</f>
        <v>0</v>
      </c>
      <c r="H66" s="30" t="n">
        <f aca="false">C66/Premissas!$B$18*Premissas!$B$19*Premissas!$B$24</f>
        <v>0</v>
      </c>
      <c r="I66" s="13" t="n">
        <f aca="false">-IF($A66-(Premissas!$B$60)&gt;=1,INDEX($G$5:$G$94,$A66-(Premissas!$B$60)),0)*(Premissas!$B$59*Unitário!$B$22+(Premissas!$B$61*Unitário!$B$24+Premissas!$B$63*Unitário!$B$25))</f>
        <v>-0</v>
      </c>
      <c r="J66" s="13" t="n">
        <f aca="false">IF($A66-(Premissas!$B$54)&gt;=1,INDEX($G$5:$G$94,$A66-(Premissas!$B$54)),0)*Premissas!$B$26*((Premissas!$B$59*Unitário!$B$22+(Premissas!$B$61*Unitário!$B$24+Premissas!$B$63*Unitário!$B$25))-Premissas!$B$39)</f>
        <v>0</v>
      </c>
      <c r="K66" s="13" t="n">
        <f aca="false">IF($A66-(Premissas!$B$54+Premissas!$B$57)&gt;=1,INDEX($G$5:$G$94,$A66-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66" s="13" t="n">
        <f aca="false">IF($A66-(Premissas!$B$54+Premissas!$B$55)&gt;=1,INDEX($G$5:$G$94,$A66-(Premissas!$B$54+Premissas!$B$55)),0)*Unitário!$B$21*(Premissas!$B$51-(1-Premissas!$B$61)*Unitário!$B$24-(1-Premissas!$B$63)*Unitário!$B$25-(1-Premissas!$B$59)*Unitário!$B$22)</f>
        <v>0</v>
      </c>
      <c r="M66" s="13" t="n">
        <f aca="false">IF($A66-(Premissas!$B$56)&gt;=1,INDEX($H$5:$H$94,$A66-(Premissas!$B$56)),0)*(Premissas!$B$52-Unitário!$B$27)</f>
        <v>0</v>
      </c>
      <c r="N66" s="13" t="n">
        <f aca="false">-IF($A66-(Premissas!$B$60)&gt;=1,INDEX($H$5:$H$94,$A66-(Premissas!$B$60)),0)*(Premissas!$B$59*Unitário!$B$22+Premissas!$B$31)</f>
        <v>-0</v>
      </c>
      <c r="O66" s="13" t="n">
        <f aca="false">IF($A66-(Premissas!$B$54+Premissas!$B$57)&gt;=1,INDEX($H$5:$H$94,$A66-(Premissas!$B$54+Premissas!$B$57)),0)*Premissas!$B$27*(-Premissas!$B$52-Premissas!$B$41+Unitário!$B$27+(1-Premissas!$B$62)*Premissas!$B$31+Premissas!$B$59*Unitário!$B$22)</f>
        <v>-0</v>
      </c>
      <c r="P66" s="13" t="n">
        <f aca="false">-Premissas!$B$42*(IF($A66-(Premissas!$B$54+Premissas!$B$55)&gt;=1,INDEX($G$5:$G$94,$A66-(Premissas!$B$54+Premissas!$B$55)),0)*Unitário!$B$21*Premissas!$B$51+IF($A66-(Premissas!$B$56)&gt;=1,INDEX($H$5:$H$94,$A66-(Premissas!$B$56)),0)*(1-Premissas!$B$27)*Premissas!$B$52)</f>
        <v>-0</v>
      </c>
      <c r="Q66" s="13" t="n">
        <f aca="false">-IF(AND(DAY(B66+Premissas!$B$15)=Premissas!$B$16,B66+Premissas!$B$15&gt;=DATE(YEAR(Premissas!$B$11),MONTH(Premissas!$B$11)+1,Premissas!$B$16)),Premissas!$B$43,0)-IF(OR(E66&lt;0,F66&lt;0,IF(AND(DAY(B66+Premissas!$B$15)=Premissas!$B$16,B66+Premissas!$B$15&gt;=DATE(YEAR(Premissas!$B$11),MONTH(Premissas!$B$11)+1,Premissas!$B$16)),Premissas!$B$43,0)&gt;0),Premissas!$B$67*Premissas!$B$68,0)</f>
        <v>-0</v>
      </c>
      <c r="R66" s="13" t="n">
        <f aca="false">E66+F66+SUM(I66:Q66)</f>
        <v>0</v>
      </c>
      <c r="S66" s="13" t="n">
        <f aca="false">S65+R66</f>
        <v>1499.07771454867</v>
      </c>
      <c r="T66" s="16" t="n">
        <f aca="false">IF(AND($A66&gt;$B$100,S66&gt;=0),1,0)</f>
        <v>1</v>
      </c>
      <c r="U66" s="13" t="n">
        <f aca="false">S66-SUM($E$5:E66)-(1+Premissas!$B$17)*SUM($C$5:C66)</f>
        <v>1442.16271454867</v>
      </c>
      <c r="V66" s="13" t="n">
        <f aca="false">(G66+H66)*Premissas!$B$21</f>
        <v>0</v>
      </c>
      <c r="W66" s="16" t="n">
        <f aca="false">IF(V66&gt;0,DATE(YEAR(B66),MONTH(B66)+1,Premissas!$B$16)-Premissas!$B$11+1-Premissas!$B$15,0)</f>
        <v>0</v>
      </c>
      <c r="X66" s="13" t="n">
        <f aca="false">X65-Y65+C66*(1+Premissas!$B$17)</f>
        <v>0</v>
      </c>
      <c r="Y66" s="13" t="n">
        <f aca="false">IF(OR(X66&gt;=Premissas!$B$13,B66=DATE(YEAR(B66),MONTH(B66)+1,0)),X66,0)</f>
        <v>0</v>
      </c>
      <c r="Z66" s="13" t="n">
        <f aca="false">Z65-AA65+C66/Premissas!$B$18*Premissas!$B$20</f>
        <v>0</v>
      </c>
      <c r="AA66" s="13" t="n">
        <f aca="false">IF(OR(Z66&gt;=Premissas!$B$14,B66=DATE(YEAR(B66),MONTH(B66)+1,0)),Z66,0)</f>
        <v>0</v>
      </c>
      <c r="AB66" s="16" t="n">
        <f aca="false">IF(AA66&gt;0,IF(DAY(B66)&lt;=Premissas!$B$12,DATE(YEAR(B66),MONTH(B66),Premissas!$B$16),DATE(YEAR(B66),MONTH(B66)+1,Premissas!$B$16))-Premissas!$B$11+1-Premissas!$B$15,0)</f>
        <v>0</v>
      </c>
    </row>
    <row r="67" customFormat="false" ht="15" hidden="false" customHeight="true" outlineLevel="0" collapsed="false">
      <c r="A67" s="16" t="n">
        <v>63</v>
      </c>
      <c r="B67" s="31" t="n">
        <f aca="false">Premissas!$B$11+A67-1</f>
        <v>46380</v>
      </c>
      <c r="C67" s="13" t="n">
        <f aca="false">IF(A67&lt;=Premissas!$B$7,Premissas!$B$6/Premissas!$B$7,IF(A67&lt;=Premissas!$B$7+Premissas!$B$8,0,IF(A67&lt;=Premissas!$B$7+Premissas!$B$8+Premissas!$B$10,Premissas!$B$9/Premissas!$B$10,0)))</f>
        <v>0</v>
      </c>
      <c r="D67" s="16" t="n">
        <f aca="false">IF(Y67&gt;0,IF(DAY(B67)&lt;=Premissas!$B$12,DATE(YEAR(B67),MONTH(B67),Premissas!$B$16),DATE(YEAR(B67),MONTH(B67)+1,Premissas!$B$16))-Premissas!$B$11+1-Premissas!$B$15,0)</f>
        <v>0</v>
      </c>
      <c r="E67" s="13" t="n">
        <f aca="false">-SUMIF($D$5:$D$94,A67,$Y$5:$Y$94)</f>
        <v>-0</v>
      </c>
      <c r="F67" s="13" t="n">
        <f aca="false">-SUMIF($W$5:$W$94,A67,$V$5:$V$94)-SUMIF($AB$5:$AB$94,A67,$AA$5:$AA$94)</f>
        <v>-0</v>
      </c>
      <c r="G67" s="30" t="n">
        <f aca="false">C67/Premissas!$B$18*Premissas!$B$19*Premissas!$B$23</f>
        <v>0</v>
      </c>
      <c r="H67" s="30" t="n">
        <f aca="false">C67/Premissas!$B$18*Premissas!$B$19*Premissas!$B$24</f>
        <v>0</v>
      </c>
      <c r="I67" s="13" t="n">
        <f aca="false">-IF($A67-(Premissas!$B$60)&gt;=1,INDEX($G$5:$G$94,$A67-(Premissas!$B$60)),0)*(Premissas!$B$59*Unitário!$B$22+(Premissas!$B$61*Unitário!$B$24+Premissas!$B$63*Unitário!$B$25))</f>
        <v>-0</v>
      </c>
      <c r="J67" s="13" t="n">
        <f aca="false">IF($A67-(Premissas!$B$54)&gt;=1,INDEX($G$5:$G$94,$A67-(Premissas!$B$54)),0)*Premissas!$B$26*((Premissas!$B$59*Unitário!$B$22+(Premissas!$B$61*Unitário!$B$24+Premissas!$B$63*Unitário!$B$25))-Premissas!$B$39)</f>
        <v>0</v>
      </c>
      <c r="K67" s="13" t="n">
        <f aca="false">IF($A67-(Premissas!$B$54+Premissas!$B$57)&gt;=1,INDEX($G$5:$G$94,$A67-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67" s="13" t="n">
        <f aca="false">IF($A67-(Premissas!$B$54+Premissas!$B$55)&gt;=1,INDEX($G$5:$G$94,$A67-(Premissas!$B$54+Premissas!$B$55)),0)*Unitário!$B$21*(Premissas!$B$51-(1-Premissas!$B$61)*Unitário!$B$24-(1-Premissas!$B$63)*Unitário!$B$25-(1-Premissas!$B$59)*Unitário!$B$22)</f>
        <v>0</v>
      </c>
      <c r="M67" s="13" t="n">
        <f aca="false">IF($A67-(Premissas!$B$56)&gt;=1,INDEX($H$5:$H$94,$A67-(Premissas!$B$56)),0)*(Premissas!$B$52-Unitário!$B$27)</f>
        <v>0</v>
      </c>
      <c r="N67" s="13" t="n">
        <f aca="false">-IF($A67-(Premissas!$B$60)&gt;=1,INDEX($H$5:$H$94,$A67-(Premissas!$B$60)),0)*(Premissas!$B$59*Unitário!$B$22+Premissas!$B$31)</f>
        <v>-0</v>
      </c>
      <c r="O67" s="13" t="n">
        <f aca="false">IF($A67-(Premissas!$B$54+Premissas!$B$57)&gt;=1,INDEX($H$5:$H$94,$A67-(Premissas!$B$54+Premissas!$B$57)),0)*Premissas!$B$27*(-Premissas!$B$52-Premissas!$B$41+Unitário!$B$27+(1-Premissas!$B$62)*Premissas!$B$31+Premissas!$B$59*Unitário!$B$22)</f>
        <v>-0</v>
      </c>
      <c r="P67" s="13" t="n">
        <f aca="false">-Premissas!$B$42*(IF($A67-(Premissas!$B$54+Premissas!$B$55)&gt;=1,INDEX($G$5:$G$94,$A67-(Premissas!$B$54+Premissas!$B$55)),0)*Unitário!$B$21*Premissas!$B$51+IF($A67-(Premissas!$B$56)&gt;=1,INDEX($H$5:$H$94,$A67-(Premissas!$B$56)),0)*(1-Premissas!$B$27)*Premissas!$B$52)</f>
        <v>-0</v>
      </c>
      <c r="Q67" s="13" t="n">
        <f aca="false">-IF(AND(DAY(B67+Premissas!$B$15)=Premissas!$B$16,B67+Premissas!$B$15&gt;=DATE(YEAR(Premissas!$B$11),MONTH(Premissas!$B$11)+1,Premissas!$B$16)),Premissas!$B$43,0)-IF(OR(E67&lt;0,F67&lt;0,IF(AND(DAY(B67+Premissas!$B$15)=Premissas!$B$16,B67+Premissas!$B$15&gt;=DATE(YEAR(Premissas!$B$11),MONTH(Premissas!$B$11)+1,Premissas!$B$16)),Premissas!$B$43,0)&gt;0),Premissas!$B$67*Premissas!$B$68,0)</f>
        <v>-0</v>
      </c>
      <c r="R67" s="13" t="n">
        <f aca="false">E67+F67+SUM(I67:Q67)</f>
        <v>0</v>
      </c>
      <c r="S67" s="13" t="n">
        <f aca="false">S66+R67</f>
        <v>1499.07771454867</v>
      </c>
      <c r="T67" s="16" t="n">
        <f aca="false">IF(AND($A67&gt;$B$100,S67&gt;=0),1,0)</f>
        <v>1</v>
      </c>
      <c r="U67" s="13" t="n">
        <f aca="false">S67-SUM($E$5:E67)-(1+Premissas!$B$17)*SUM($C$5:C67)</f>
        <v>1442.16271454867</v>
      </c>
      <c r="V67" s="13" t="n">
        <f aca="false">(G67+H67)*Premissas!$B$21</f>
        <v>0</v>
      </c>
      <c r="W67" s="16" t="n">
        <f aca="false">IF(V67&gt;0,DATE(YEAR(B67),MONTH(B67)+1,Premissas!$B$16)-Premissas!$B$11+1-Premissas!$B$15,0)</f>
        <v>0</v>
      </c>
      <c r="X67" s="13" t="n">
        <f aca="false">X66-Y66+C67*(1+Premissas!$B$17)</f>
        <v>0</v>
      </c>
      <c r="Y67" s="13" t="n">
        <f aca="false">IF(OR(X67&gt;=Premissas!$B$13,B67=DATE(YEAR(B67),MONTH(B67)+1,0)),X67,0)</f>
        <v>0</v>
      </c>
      <c r="Z67" s="13" t="n">
        <f aca="false">Z66-AA66+C67/Premissas!$B$18*Premissas!$B$20</f>
        <v>0</v>
      </c>
      <c r="AA67" s="13" t="n">
        <f aca="false">IF(OR(Z67&gt;=Premissas!$B$14,B67=DATE(YEAR(B67),MONTH(B67)+1,0)),Z67,0)</f>
        <v>0</v>
      </c>
      <c r="AB67" s="16" t="n">
        <f aca="false">IF(AA67&gt;0,IF(DAY(B67)&lt;=Premissas!$B$12,DATE(YEAR(B67),MONTH(B67),Premissas!$B$16),DATE(YEAR(B67),MONTH(B67)+1,Premissas!$B$16))-Premissas!$B$11+1-Premissas!$B$15,0)</f>
        <v>0</v>
      </c>
    </row>
    <row r="68" customFormat="false" ht="15" hidden="false" customHeight="true" outlineLevel="0" collapsed="false">
      <c r="A68" s="16" t="n">
        <v>64</v>
      </c>
      <c r="B68" s="31" t="n">
        <f aca="false">Premissas!$B$11+A68-1</f>
        <v>46381</v>
      </c>
      <c r="C68" s="13" t="n">
        <f aca="false">IF(A68&lt;=Premissas!$B$7,Premissas!$B$6/Premissas!$B$7,IF(A68&lt;=Premissas!$B$7+Premissas!$B$8,0,IF(A68&lt;=Premissas!$B$7+Premissas!$B$8+Premissas!$B$10,Premissas!$B$9/Premissas!$B$10,0)))</f>
        <v>0</v>
      </c>
      <c r="D68" s="16" t="n">
        <f aca="false">IF(Y68&gt;0,IF(DAY(B68)&lt;=Premissas!$B$12,DATE(YEAR(B68),MONTH(B68),Premissas!$B$16),DATE(YEAR(B68),MONTH(B68)+1,Premissas!$B$16))-Premissas!$B$11+1-Premissas!$B$15,0)</f>
        <v>0</v>
      </c>
      <c r="E68" s="13" t="n">
        <f aca="false">-SUMIF($D$5:$D$94,A68,$Y$5:$Y$94)</f>
        <v>-0</v>
      </c>
      <c r="F68" s="13" t="n">
        <f aca="false">-SUMIF($W$5:$W$94,A68,$V$5:$V$94)-SUMIF($AB$5:$AB$94,A68,$AA$5:$AA$94)</f>
        <v>-0</v>
      </c>
      <c r="G68" s="30" t="n">
        <f aca="false">C68/Premissas!$B$18*Premissas!$B$19*Premissas!$B$23</f>
        <v>0</v>
      </c>
      <c r="H68" s="30" t="n">
        <f aca="false">C68/Premissas!$B$18*Premissas!$B$19*Premissas!$B$24</f>
        <v>0</v>
      </c>
      <c r="I68" s="13" t="n">
        <f aca="false">-IF($A68-(Premissas!$B$60)&gt;=1,INDEX($G$5:$G$94,$A68-(Premissas!$B$60)),0)*(Premissas!$B$59*Unitário!$B$22+(Premissas!$B$61*Unitário!$B$24+Premissas!$B$63*Unitário!$B$25))</f>
        <v>-0</v>
      </c>
      <c r="J68" s="13" t="n">
        <f aca="false">IF($A68-(Premissas!$B$54)&gt;=1,INDEX($G$5:$G$94,$A68-(Premissas!$B$54)),0)*Premissas!$B$26*((Premissas!$B$59*Unitário!$B$22+(Premissas!$B$61*Unitário!$B$24+Premissas!$B$63*Unitário!$B$25))-Premissas!$B$39)</f>
        <v>0</v>
      </c>
      <c r="K68" s="13" t="n">
        <f aca="false">IF($A68-(Premissas!$B$54+Premissas!$B$57)&gt;=1,INDEX($G$5:$G$94,$A68-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68" s="13" t="n">
        <f aca="false">IF($A68-(Premissas!$B$54+Premissas!$B$55)&gt;=1,INDEX($G$5:$G$94,$A68-(Premissas!$B$54+Premissas!$B$55)),0)*Unitário!$B$21*(Premissas!$B$51-(1-Premissas!$B$61)*Unitário!$B$24-(1-Premissas!$B$63)*Unitário!$B$25-(1-Premissas!$B$59)*Unitário!$B$22)</f>
        <v>0</v>
      </c>
      <c r="M68" s="13" t="n">
        <f aca="false">IF($A68-(Premissas!$B$56)&gt;=1,INDEX($H$5:$H$94,$A68-(Premissas!$B$56)),0)*(Premissas!$B$52-Unitário!$B$27)</f>
        <v>0</v>
      </c>
      <c r="N68" s="13" t="n">
        <f aca="false">-IF($A68-(Premissas!$B$60)&gt;=1,INDEX($H$5:$H$94,$A68-(Premissas!$B$60)),0)*(Premissas!$B$59*Unitário!$B$22+Premissas!$B$31)</f>
        <v>-0</v>
      </c>
      <c r="O68" s="13" t="n">
        <f aca="false">IF($A68-(Premissas!$B$54+Premissas!$B$57)&gt;=1,INDEX($H$5:$H$94,$A68-(Premissas!$B$54+Premissas!$B$57)),0)*Premissas!$B$27*(-Premissas!$B$52-Premissas!$B$41+Unitário!$B$27+(1-Premissas!$B$62)*Premissas!$B$31+Premissas!$B$59*Unitário!$B$22)</f>
        <v>-0</v>
      </c>
      <c r="P68" s="13" t="n">
        <f aca="false">-Premissas!$B$42*(IF($A68-(Premissas!$B$54+Premissas!$B$55)&gt;=1,INDEX($G$5:$G$94,$A68-(Premissas!$B$54+Premissas!$B$55)),0)*Unitário!$B$21*Premissas!$B$51+IF($A68-(Premissas!$B$56)&gt;=1,INDEX($H$5:$H$94,$A68-(Premissas!$B$56)),0)*(1-Premissas!$B$27)*Premissas!$B$52)</f>
        <v>-0</v>
      </c>
      <c r="Q68" s="13" t="n">
        <f aca="false">-IF(AND(DAY(B68+Premissas!$B$15)=Premissas!$B$16,B68+Premissas!$B$15&gt;=DATE(YEAR(Premissas!$B$11),MONTH(Premissas!$B$11)+1,Premissas!$B$16)),Premissas!$B$43,0)-IF(OR(E68&lt;0,F68&lt;0,IF(AND(DAY(B68+Premissas!$B$15)=Premissas!$B$16,B68+Premissas!$B$15&gt;=DATE(YEAR(Premissas!$B$11),MONTH(Premissas!$B$11)+1,Premissas!$B$16)),Premissas!$B$43,0)&gt;0),Premissas!$B$67*Premissas!$B$68,0)</f>
        <v>-0</v>
      </c>
      <c r="R68" s="13" t="n">
        <f aca="false">E68+F68+SUM(I68:Q68)</f>
        <v>0</v>
      </c>
      <c r="S68" s="13" t="n">
        <f aca="false">S67+R68</f>
        <v>1499.07771454867</v>
      </c>
      <c r="T68" s="16" t="n">
        <f aca="false">IF(AND($A68&gt;$B$100,S68&gt;=0),1,0)</f>
        <v>1</v>
      </c>
      <c r="U68" s="13" t="n">
        <f aca="false">S68-SUM($E$5:E68)-(1+Premissas!$B$17)*SUM($C$5:C68)</f>
        <v>1442.16271454867</v>
      </c>
      <c r="V68" s="13" t="n">
        <f aca="false">(G68+H68)*Premissas!$B$21</f>
        <v>0</v>
      </c>
      <c r="W68" s="16" t="n">
        <f aca="false">IF(V68&gt;0,DATE(YEAR(B68),MONTH(B68)+1,Premissas!$B$16)-Premissas!$B$11+1-Premissas!$B$15,0)</f>
        <v>0</v>
      </c>
      <c r="X68" s="13" t="n">
        <f aca="false">X67-Y67+C68*(1+Premissas!$B$17)</f>
        <v>0</v>
      </c>
      <c r="Y68" s="13" t="n">
        <f aca="false">IF(OR(X68&gt;=Premissas!$B$13,B68=DATE(YEAR(B68),MONTH(B68)+1,0)),X68,0)</f>
        <v>0</v>
      </c>
      <c r="Z68" s="13" t="n">
        <f aca="false">Z67-AA67+C68/Premissas!$B$18*Premissas!$B$20</f>
        <v>0</v>
      </c>
      <c r="AA68" s="13" t="n">
        <f aca="false">IF(OR(Z68&gt;=Premissas!$B$14,B68=DATE(YEAR(B68),MONTH(B68)+1,0)),Z68,0)</f>
        <v>0</v>
      </c>
      <c r="AB68" s="16" t="n">
        <f aca="false">IF(AA68&gt;0,IF(DAY(B68)&lt;=Premissas!$B$12,DATE(YEAR(B68),MONTH(B68),Premissas!$B$16),DATE(YEAR(B68),MONTH(B68)+1,Premissas!$B$16))-Premissas!$B$11+1-Premissas!$B$15,0)</f>
        <v>0</v>
      </c>
    </row>
    <row r="69" customFormat="false" ht="15" hidden="false" customHeight="true" outlineLevel="0" collapsed="false">
      <c r="A69" s="16" t="n">
        <v>65</v>
      </c>
      <c r="B69" s="31" t="n">
        <f aca="false">Premissas!$B$11+A69-1</f>
        <v>46382</v>
      </c>
      <c r="C69" s="13" t="n">
        <f aca="false">IF(A69&lt;=Premissas!$B$7,Premissas!$B$6/Premissas!$B$7,IF(A69&lt;=Premissas!$B$7+Premissas!$B$8,0,IF(A69&lt;=Premissas!$B$7+Premissas!$B$8+Premissas!$B$10,Premissas!$B$9/Premissas!$B$10,0)))</f>
        <v>0</v>
      </c>
      <c r="D69" s="16" t="n">
        <f aca="false">IF(Y69&gt;0,IF(DAY(B69)&lt;=Premissas!$B$12,DATE(YEAR(B69),MONTH(B69),Premissas!$B$16),DATE(YEAR(B69),MONTH(B69)+1,Premissas!$B$16))-Premissas!$B$11+1-Premissas!$B$15,0)</f>
        <v>0</v>
      </c>
      <c r="E69" s="13" t="n">
        <f aca="false">-SUMIF($D$5:$D$94,A69,$Y$5:$Y$94)</f>
        <v>-0</v>
      </c>
      <c r="F69" s="13" t="n">
        <f aca="false">-SUMIF($W$5:$W$94,A69,$V$5:$V$94)-SUMIF($AB$5:$AB$94,A69,$AA$5:$AA$94)</f>
        <v>-0</v>
      </c>
      <c r="G69" s="30" t="n">
        <f aca="false">C69/Premissas!$B$18*Premissas!$B$19*Premissas!$B$23</f>
        <v>0</v>
      </c>
      <c r="H69" s="30" t="n">
        <f aca="false">C69/Premissas!$B$18*Premissas!$B$19*Premissas!$B$24</f>
        <v>0</v>
      </c>
      <c r="I69" s="13" t="n">
        <f aca="false">-IF($A69-(Premissas!$B$60)&gt;=1,INDEX($G$5:$G$94,$A69-(Premissas!$B$60)),0)*(Premissas!$B$59*Unitário!$B$22+(Premissas!$B$61*Unitário!$B$24+Premissas!$B$63*Unitário!$B$25))</f>
        <v>-0</v>
      </c>
      <c r="J69" s="13" t="n">
        <f aca="false">IF($A69-(Premissas!$B$54)&gt;=1,INDEX($G$5:$G$94,$A69-(Premissas!$B$54)),0)*Premissas!$B$26*((Premissas!$B$59*Unitário!$B$22+(Premissas!$B$61*Unitário!$B$24+Premissas!$B$63*Unitário!$B$25))-Premissas!$B$39)</f>
        <v>0</v>
      </c>
      <c r="K69" s="13" t="n">
        <f aca="false">IF($A69-(Premissas!$B$54+Premissas!$B$57)&gt;=1,INDEX($G$5:$G$94,$A69-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69" s="13" t="n">
        <f aca="false">IF($A69-(Premissas!$B$54+Premissas!$B$55)&gt;=1,INDEX($G$5:$G$94,$A69-(Premissas!$B$54+Premissas!$B$55)),0)*Unitário!$B$21*(Premissas!$B$51-(1-Premissas!$B$61)*Unitário!$B$24-(1-Premissas!$B$63)*Unitário!$B$25-(1-Premissas!$B$59)*Unitário!$B$22)</f>
        <v>0</v>
      </c>
      <c r="M69" s="13" t="n">
        <f aca="false">IF($A69-(Premissas!$B$56)&gt;=1,INDEX($H$5:$H$94,$A69-(Premissas!$B$56)),0)*(Premissas!$B$52-Unitário!$B$27)</f>
        <v>0</v>
      </c>
      <c r="N69" s="13" t="n">
        <f aca="false">-IF($A69-(Premissas!$B$60)&gt;=1,INDEX($H$5:$H$94,$A69-(Premissas!$B$60)),0)*(Premissas!$B$59*Unitário!$B$22+Premissas!$B$31)</f>
        <v>-0</v>
      </c>
      <c r="O69" s="13" t="n">
        <f aca="false">IF($A69-(Premissas!$B$54+Premissas!$B$57)&gt;=1,INDEX($H$5:$H$94,$A69-(Premissas!$B$54+Premissas!$B$57)),0)*Premissas!$B$27*(-Premissas!$B$52-Premissas!$B$41+Unitário!$B$27+(1-Premissas!$B$62)*Premissas!$B$31+Premissas!$B$59*Unitário!$B$22)</f>
        <v>-0</v>
      </c>
      <c r="P69" s="13" t="n">
        <f aca="false">-Premissas!$B$42*(IF($A69-(Premissas!$B$54+Premissas!$B$55)&gt;=1,INDEX($G$5:$G$94,$A69-(Premissas!$B$54+Premissas!$B$55)),0)*Unitário!$B$21*Premissas!$B$51+IF($A69-(Premissas!$B$56)&gt;=1,INDEX($H$5:$H$94,$A69-(Premissas!$B$56)),0)*(1-Premissas!$B$27)*Premissas!$B$52)</f>
        <v>-0</v>
      </c>
      <c r="Q69" s="13" t="n">
        <f aca="false">-IF(AND(DAY(B69+Premissas!$B$15)=Premissas!$B$16,B69+Premissas!$B$15&gt;=DATE(YEAR(Premissas!$B$11),MONTH(Premissas!$B$11)+1,Premissas!$B$16)),Premissas!$B$43,0)-IF(OR(E69&lt;0,F69&lt;0,IF(AND(DAY(B69+Premissas!$B$15)=Premissas!$B$16,B69+Premissas!$B$15&gt;=DATE(YEAR(Premissas!$B$11),MONTH(Premissas!$B$11)+1,Premissas!$B$16)),Premissas!$B$43,0)&gt;0),Premissas!$B$67*Premissas!$B$68,0)</f>
        <v>-0</v>
      </c>
      <c r="R69" s="13" t="n">
        <f aca="false">E69+F69+SUM(I69:Q69)</f>
        <v>0</v>
      </c>
      <c r="S69" s="13" t="n">
        <f aca="false">S68+R69</f>
        <v>1499.07771454867</v>
      </c>
      <c r="T69" s="16" t="n">
        <f aca="false">IF(AND($A69&gt;$B$100,S69&gt;=0),1,0)</f>
        <v>1</v>
      </c>
      <c r="U69" s="13" t="n">
        <f aca="false">S69-SUM($E$5:E69)-(1+Premissas!$B$17)*SUM($C$5:C69)</f>
        <v>1442.16271454867</v>
      </c>
      <c r="V69" s="13" t="n">
        <f aca="false">(G69+H69)*Premissas!$B$21</f>
        <v>0</v>
      </c>
      <c r="W69" s="16" t="n">
        <f aca="false">IF(V69&gt;0,DATE(YEAR(B69),MONTH(B69)+1,Premissas!$B$16)-Premissas!$B$11+1-Premissas!$B$15,0)</f>
        <v>0</v>
      </c>
      <c r="X69" s="13" t="n">
        <f aca="false">X68-Y68+C69*(1+Premissas!$B$17)</f>
        <v>0</v>
      </c>
      <c r="Y69" s="13" t="n">
        <f aca="false">IF(OR(X69&gt;=Premissas!$B$13,B69=DATE(YEAR(B69),MONTH(B69)+1,0)),X69,0)</f>
        <v>0</v>
      </c>
      <c r="Z69" s="13" t="n">
        <f aca="false">Z68-AA68+C69/Premissas!$B$18*Premissas!$B$20</f>
        <v>0</v>
      </c>
      <c r="AA69" s="13" t="n">
        <f aca="false">IF(OR(Z69&gt;=Premissas!$B$14,B69=DATE(YEAR(B69),MONTH(B69)+1,0)),Z69,0)</f>
        <v>0</v>
      </c>
      <c r="AB69" s="16" t="n">
        <f aca="false">IF(AA69&gt;0,IF(DAY(B69)&lt;=Premissas!$B$12,DATE(YEAR(B69),MONTH(B69),Premissas!$B$16),DATE(YEAR(B69),MONTH(B69)+1,Premissas!$B$16))-Premissas!$B$11+1-Premissas!$B$15,0)</f>
        <v>0</v>
      </c>
    </row>
    <row r="70" customFormat="false" ht="15" hidden="false" customHeight="true" outlineLevel="0" collapsed="false">
      <c r="A70" s="16" t="n">
        <v>66</v>
      </c>
      <c r="B70" s="31" t="n">
        <f aca="false">Premissas!$B$11+A70-1</f>
        <v>46383</v>
      </c>
      <c r="C70" s="13" t="n">
        <f aca="false">IF(A70&lt;=Premissas!$B$7,Premissas!$B$6/Premissas!$B$7,IF(A70&lt;=Premissas!$B$7+Premissas!$B$8,0,IF(A70&lt;=Premissas!$B$7+Premissas!$B$8+Premissas!$B$10,Premissas!$B$9/Premissas!$B$10,0)))</f>
        <v>0</v>
      </c>
      <c r="D70" s="16" t="n">
        <f aca="false">IF(Y70&gt;0,IF(DAY(B70)&lt;=Premissas!$B$12,DATE(YEAR(B70),MONTH(B70),Premissas!$B$16),DATE(YEAR(B70),MONTH(B70)+1,Premissas!$B$16))-Premissas!$B$11+1-Premissas!$B$15,0)</f>
        <v>0</v>
      </c>
      <c r="E70" s="13" t="n">
        <f aca="false">-SUMIF($D$5:$D$94,A70,$Y$5:$Y$94)</f>
        <v>-56.915</v>
      </c>
      <c r="F70" s="13" t="n">
        <f aca="false">-SUMIF($W$5:$W$94,A70,$V$5:$V$94)-SUMIF($AB$5:$AB$94,A70,$AA$5:$AA$94)</f>
        <v>-9.93333333333334</v>
      </c>
      <c r="G70" s="30" t="n">
        <f aca="false">C70/Premissas!$B$18*Premissas!$B$19*Premissas!$B$23</f>
        <v>0</v>
      </c>
      <c r="H70" s="30" t="n">
        <f aca="false">C70/Premissas!$B$18*Premissas!$B$19*Premissas!$B$24</f>
        <v>0</v>
      </c>
      <c r="I70" s="13" t="n">
        <f aca="false">-IF($A70-(Premissas!$B$60)&gt;=1,INDEX($G$5:$G$94,$A70-(Premissas!$B$60)),0)*(Premissas!$B$59*Unitário!$B$22+(Premissas!$B$61*Unitário!$B$24+Premissas!$B$63*Unitário!$B$25))</f>
        <v>-0</v>
      </c>
      <c r="J70" s="13" t="n">
        <f aca="false">IF($A70-(Premissas!$B$54)&gt;=1,INDEX($G$5:$G$94,$A70-(Premissas!$B$54)),0)*Premissas!$B$26*((Premissas!$B$59*Unitário!$B$22+(Premissas!$B$61*Unitário!$B$24+Premissas!$B$63*Unitário!$B$25))-Premissas!$B$39)</f>
        <v>0</v>
      </c>
      <c r="K70" s="13" t="n">
        <f aca="false">IF($A70-(Premissas!$B$54+Premissas!$B$57)&gt;=1,INDEX($G$5:$G$94,$A70-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70" s="13" t="n">
        <f aca="false">IF($A70-(Premissas!$B$54+Premissas!$B$55)&gt;=1,INDEX($G$5:$G$94,$A70-(Premissas!$B$54+Premissas!$B$55)),0)*Unitário!$B$21*(Premissas!$B$51-(1-Premissas!$B$61)*Unitário!$B$24-(1-Premissas!$B$63)*Unitário!$B$25-(1-Premissas!$B$59)*Unitário!$B$22)</f>
        <v>0</v>
      </c>
      <c r="M70" s="13" t="n">
        <f aca="false">IF($A70-(Premissas!$B$56)&gt;=1,INDEX($H$5:$H$94,$A70-(Premissas!$B$56)),0)*(Premissas!$B$52-Unitário!$B$27)</f>
        <v>0</v>
      </c>
      <c r="N70" s="13" t="n">
        <f aca="false">-IF($A70-(Premissas!$B$60)&gt;=1,INDEX($H$5:$H$94,$A70-(Premissas!$B$60)),0)*(Premissas!$B$59*Unitário!$B$22+Premissas!$B$31)</f>
        <v>-0</v>
      </c>
      <c r="O70" s="13" t="n">
        <f aca="false">IF($A70-(Premissas!$B$54+Premissas!$B$57)&gt;=1,INDEX($H$5:$H$94,$A70-(Premissas!$B$54+Premissas!$B$57)),0)*Premissas!$B$27*(-Premissas!$B$52-Premissas!$B$41+Unitário!$B$27+(1-Premissas!$B$62)*Premissas!$B$31+Premissas!$B$59*Unitário!$B$22)</f>
        <v>-0</v>
      </c>
      <c r="P70" s="13" t="n">
        <f aca="false">-Premissas!$B$42*(IF($A70-(Premissas!$B$54+Premissas!$B$55)&gt;=1,INDEX($G$5:$G$94,$A70-(Premissas!$B$54+Premissas!$B$55)),0)*Unitário!$B$21*Premissas!$B$51+IF($A70-(Premissas!$B$56)&gt;=1,INDEX($H$5:$H$94,$A70-(Premissas!$B$56)),0)*(1-Premissas!$B$27)*Premissas!$B$52)</f>
        <v>-0</v>
      </c>
      <c r="Q70" s="13" t="n">
        <f aca="false">-IF(AND(DAY(B70+Premissas!$B$15)=Premissas!$B$16,B70+Premissas!$B$15&gt;=DATE(YEAR(Premissas!$B$11),MONTH(Premissas!$B$11)+1,Premissas!$B$16)),Premissas!$B$43,0)-IF(OR(E70&lt;0,F70&lt;0,IF(AND(DAY(B70+Premissas!$B$15)=Premissas!$B$16,B70+Premissas!$B$15&gt;=DATE(YEAR(Premissas!$B$11),MONTH(Premissas!$B$11)+1,Premissas!$B$16)),Premissas!$B$43,0)&gt;0),Premissas!$B$67*Premissas!$B$68,0)</f>
        <v>-57.49</v>
      </c>
      <c r="R70" s="13" t="n">
        <f aca="false">E70+F70+SUM(I70:Q70)</f>
        <v>-124.338333333333</v>
      </c>
      <c r="S70" s="13" t="n">
        <f aca="false">S69+R70</f>
        <v>1374.73938121533</v>
      </c>
      <c r="T70" s="16" t="n">
        <f aca="false">IF(AND($A70&gt;$B$100,S70&gt;=0),1,0)</f>
        <v>1</v>
      </c>
      <c r="U70" s="13" t="n">
        <f aca="false">S70-SUM($E$5:E70)-(1+Premissas!$B$17)*SUM($C$5:C70)</f>
        <v>1374.73938121533</v>
      </c>
      <c r="V70" s="13" t="n">
        <f aca="false">(G70+H70)*Premissas!$B$21</f>
        <v>0</v>
      </c>
      <c r="W70" s="16" t="n">
        <f aca="false">IF(V70&gt;0,DATE(YEAR(B70),MONTH(B70)+1,Premissas!$B$16)-Premissas!$B$11+1-Premissas!$B$15,0)</f>
        <v>0</v>
      </c>
      <c r="X70" s="13" t="n">
        <f aca="false">X69-Y69+C70*(1+Premissas!$B$17)</f>
        <v>0</v>
      </c>
      <c r="Y70" s="13" t="n">
        <f aca="false">IF(OR(X70&gt;=Premissas!$B$13,B70=DATE(YEAR(B70),MONTH(B70)+1,0)),X70,0)</f>
        <v>0</v>
      </c>
      <c r="Z70" s="13" t="n">
        <f aca="false">Z69-AA69+C70/Premissas!$B$18*Premissas!$B$20</f>
        <v>0</v>
      </c>
      <c r="AA70" s="13" t="n">
        <f aca="false">IF(OR(Z70&gt;=Premissas!$B$14,B70=DATE(YEAR(B70),MONTH(B70)+1,0)),Z70,0)</f>
        <v>0</v>
      </c>
      <c r="AB70" s="16" t="n">
        <f aca="false">IF(AA70&gt;0,IF(DAY(B70)&lt;=Premissas!$B$12,DATE(YEAR(B70),MONTH(B70),Premissas!$B$16),DATE(YEAR(B70),MONTH(B70)+1,Premissas!$B$16))-Premissas!$B$11+1-Premissas!$B$15,0)</f>
        <v>0</v>
      </c>
    </row>
    <row r="71" customFormat="false" ht="15" hidden="false" customHeight="true" outlineLevel="0" collapsed="false">
      <c r="A71" s="16" t="n">
        <v>67</v>
      </c>
      <c r="B71" s="31" t="n">
        <f aca="false">Premissas!$B$11+A71-1</f>
        <v>46384</v>
      </c>
      <c r="C71" s="13" t="n">
        <f aca="false">IF(A71&lt;=Premissas!$B$7,Premissas!$B$6/Premissas!$B$7,IF(A71&lt;=Premissas!$B$7+Premissas!$B$8,0,IF(A71&lt;=Premissas!$B$7+Premissas!$B$8+Premissas!$B$10,Premissas!$B$9/Premissas!$B$10,0)))</f>
        <v>0</v>
      </c>
      <c r="D71" s="16" t="n">
        <f aca="false">IF(Y71&gt;0,IF(DAY(B71)&lt;=Premissas!$B$12,DATE(YEAR(B71),MONTH(B71),Premissas!$B$16),DATE(YEAR(B71),MONTH(B71)+1,Premissas!$B$16))-Premissas!$B$11+1-Premissas!$B$15,0)</f>
        <v>0</v>
      </c>
      <c r="E71" s="13" t="n">
        <f aca="false">-SUMIF($D$5:$D$94,A71,$Y$5:$Y$94)</f>
        <v>-0</v>
      </c>
      <c r="F71" s="13" t="n">
        <f aca="false">-SUMIF($W$5:$W$94,A71,$V$5:$V$94)-SUMIF($AB$5:$AB$94,A71,$AA$5:$AA$94)</f>
        <v>-0</v>
      </c>
      <c r="G71" s="30" t="n">
        <f aca="false">C71/Premissas!$B$18*Premissas!$B$19*Premissas!$B$23</f>
        <v>0</v>
      </c>
      <c r="H71" s="30" t="n">
        <f aca="false">C71/Premissas!$B$18*Premissas!$B$19*Premissas!$B$24</f>
        <v>0</v>
      </c>
      <c r="I71" s="13" t="n">
        <f aca="false">-IF($A71-(Premissas!$B$60)&gt;=1,INDEX($G$5:$G$94,$A71-(Premissas!$B$60)),0)*(Premissas!$B$59*Unitário!$B$22+(Premissas!$B$61*Unitário!$B$24+Premissas!$B$63*Unitário!$B$25))</f>
        <v>-0</v>
      </c>
      <c r="J71" s="13" t="n">
        <f aca="false">IF($A71-(Premissas!$B$54)&gt;=1,INDEX($G$5:$G$94,$A71-(Premissas!$B$54)),0)*Premissas!$B$26*((Premissas!$B$59*Unitário!$B$22+(Premissas!$B$61*Unitário!$B$24+Premissas!$B$63*Unitário!$B$25))-Premissas!$B$39)</f>
        <v>0</v>
      </c>
      <c r="K71" s="13" t="n">
        <f aca="false">IF($A71-(Premissas!$B$54+Premissas!$B$57)&gt;=1,INDEX($G$5:$G$94,$A71-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71" s="13" t="n">
        <f aca="false">IF($A71-(Premissas!$B$54+Premissas!$B$55)&gt;=1,INDEX($G$5:$G$94,$A71-(Premissas!$B$54+Premissas!$B$55)),0)*Unitário!$B$21*(Premissas!$B$51-(1-Premissas!$B$61)*Unitário!$B$24-(1-Premissas!$B$63)*Unitário!$B$25-(1-Premissas!$B$59)*Unitário!$B$22)</f>
        <v>0</v>
      </c>
      <c r="M71" s="13" t="n">
        <f aca="false">IF($A71-(Premissas!$B$56)&gt;=1,INDEX($H$5:$H$94,$A71-(Premissas!$B$56)),0)*(Premissas!$B$52-Unitário!$B$27)</f>
        <v>0</v>
      </c>
      <c r="N71" s="13" t="n">
        <f aca="false">-IF($A71-(Premissas!$B$60)&gt;=1,INDEX($H$5:$H$94,$A71-(Premissas!$B$60)),0)*(Premissas!$B$59*Unitário!$B$22+Premissas!$B$31)</f>
        <v>-0</v>
      </c>
      <c r="O71" s="13" t="n">
        <f aca="false">IF($A71-(Premissas!$B$54+Premissas!$B$57)&gt;=1,INDEX($H$5:$H$94,$A71-(Premissas!$B$54+Premissas!$B$57)),0)*Premissas!$B$27*(-Premissas!$B$52-Premissas!$B$41+Unitário!$B$27+(1-Premissas!$B$62)*Premissas!$B$31+Premissas!$B$59*Unitário!$B$22)</f>
        <v>-0</v>
      </c>
      <c r="P71" s="13" t="n">
        <f aca="false">-Premissas!$B$42*(IF($A71-(Premissas!$B$54+Premissas!$B$55)&gt;=1,INDEX($G$5:$G$94,$A71-(Premissas!$B$54+Premissas!$B$55)),0)*Unitário!$B$21*Premissas!$B$51+IF($A71-(Premissas!$B$56)&gt;=1,INDEX($H$5:$H$94,$A71-(Premissas!$B$56)),0)*(1-Premissas!$B$27)*Premissas!$B$52)</f>
        <v>-0</v>
      </c>
      <c r="Q71" s="13" t="n">
        <f aca="false">-IF(AND(DAY(B71+Premissas!$B$15)=Premissas!$B$16,B71+Premissas!$B$15&gt;=DATE(YEAR(Premissas!$B$11),MONTH(Premissas!$B$11)+1,Premissas!$B$16)),Premissas!$B$43,0)-IF(OR(E71&lt;0,F71&lt;0,IF(AND(DAY(B71+Premissas!$B$15)=Premissas!$B$16,B71+Premissas!$B$15&gt;=DATE(YEAR(Premissas!$B$11),MONTH(Premissas!$B$11)+1,Premissas!$B$16)),Premissas!$B$43,0)&gt;0),Premissas!$B$67*Premissas!$B$68,0)</f>
        <v>-0</v>
      </c>
      <c r="R71" s="13" t="n">
        <f aca="false">E71+F71+SUM(I71:Q71)</f>
        <v>0</v>
      </c>
      <c r="S71" s="13" t="n">
        <f aca="false">S70+R71</f>
        <v>1374.73938121533</v>
      </c>
      <c r="T71" s="16" t="n">
        <f aca="false">IF(AND($A71&gt;$B$100,S71&gt;=0),1,0)</f>
        <v>1</v>
      </c>
      <c r="U71" s="13" t="n">
        <f aca="false">S71-SUM($E$5:E71)-(1+Premissas!$B$17)*SUM($C$5:C71)</f>
        <v>1374.73938121533</v>
      </c>
      <c r="V71" s="13" t="n">
        <f aca="false">(G71+H71)*Premissas!$B$21</f>
        <v>0</v>
      </c>
      <c r="W71" s="16" t="n">
        <f aca="false">IF(V71&gt;0,DATE(YEAR(B71),MONTH(B71)+1,Premissas!$B$16)-Premissas!$B$11+1-Premissas!$B$15,0)</f>
        <v>0</v>
      </c>
      <c r="X71" s="13" t="n">
        <f aca="false">X70-Y70+C71*(1+Premissas!$B$17)</f>
        <v>0</v>
      </c>
      <c r="Y71" s="13" t="n">
        <f aca="false">IF(OR(X71&gt;=Premissas!$B$13,B71=DATE(YEAR(B71),MONTH(B71)+1,0)),X71,0)</f>
        <v>0</v>
      </c>
      <c r="Z71" s="13" t="n">
        <f aca="false">Z70-AA70+C71/Premissas!$B$18*Premissas!$B$20</f>
        <v>0</v>
      </c>
      <c r="AA71" s="13" t="n">
        <f aca="false">IF(OR(Z71&gt;=Premissas!$B$14,B71=DATE(YEAR(B71),MONTH(B71)+1,0)),Z71,0)</f>
        <v>0</v>
      </c>
      <c r="AB71" s="16" t="n">
        <f aca="false">IF(AA71&gt;0,IF(DAY(B71)&lt;=Premissas!$B$12,DATE(YEAR(B71),MONTH(B71),Premissas!$B$16),DATE(YEAR(B71),MONTH(B71)+1,Premissas!$B$16))-Premissas!$B$11+1-Premissas!$B$15,0)</f>
        <v>0</v>
      </c>
    </row>
    <row r="72" customFormat="false" ht="15" hidden="false" customHeight="true" outlineLevel="0" collapsed="false">
      <c r="A72" s="16" t="n">
        <v>68</v>
      </c>
      <c r="B72" s="31" t="n">
        <f aca="false">Premissas!$B$11+A72-1</f>
        <v>46385</v>
      </c>
      <c r="C72" s="13" t="n">
        <f aca="false">IF(A72&lt;=Premissas!$B$7,Premissas!$B$6/Premissas!$B$7,IF(A72&lt;=Premissas!$B$7+Premissas!$B$8,0,IF(A72&lt;=Premissas!$B$7+Premissas!$B$8+Premissas!$B$10,Premissas!$B$9/Premissas!$B$10,0)))</f>
        <v>0</v>
      </c>
      <c r="D72" s="16" t="n">
        <f aca="false">IF(Y72&gt;0,IF(DAY(B72)&lt;=Premissas!$B$12,DATE(YEAR(B72),MONTH(B72),Premissas!$B$16),DATE(YEAR(B72),MONTH(B72)+1,Premissas!$B$16))-Premissas!$B$11+1-Premissas!$B$15,0)</f>
        <v>0</v>
      </c>
      <c r="E72" s="13" t="n">
        <f aca="false">-SUMIF($D$5:$D$94,A72,$Y$5:$Y$94)</f>
        <v>-0</v>
      </c>
      <c r="F72" s="13" t="n">
        <f aca="false">-SUMIF($W$5:$W$94,A72,$V$5:$V$94)-SUMIF($AB$5:$AB$94,A72,$AA$5:$AA$94)</f>
        <v>-0</v>
      </c>
      <c r="G72" s="30" t="n">
        <f aca="false">C72/Premissas!$B$18*Premissas!$B$19*Premissas!$B$23</f>
        <v>0</v>
      </c>
      <c r="H72" s="30" t="n">
        <f aca="false">C72/Premissas!$B$18*Premissas!$B$19*Premissas!$B$24</f>
        <v>0</v>
      </c>
      <c r="I72" s="13" t="n">
        <f aca="false">-IF($A72-(Premissas!$B$60)&gt;=1,INDEX($G$5:$G$94,$A72-(Premissas!$B$60)),0)*(Premissas!$B$59*Unitário!$B$22+(Premissas!$B$61*Unitário!$B$24+Premissas!$B$63*Unitário!$B$25))</f>
        <v>-0</v>
      </c>
      <c r="J72" s="13" t="n">
        <f aca="false">IF($A72-(Premissas!$B$54)&gt;=1,INDEX($G$5:$G$94,$A72-(Premissas!$B$54)),0)*Premissas!$B$26*((Premissas!$B$59*Unitário!$B$22+(Premissas!$B$61*Unitário!$B$24+Premissas!$B$63*Unitário!$B$25))-Premissas!$B$39)</f>
        <v>0</v>
      </c>
      <c r="K72" s="13" t="n">
        <f aca="false">IF($A72-(Premissas!$B$54+Premissas!$B$57)&gt;=1,INDEX($G$5:$G$94,$A72-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72" s="13" t="n">
        <f aca="false">IF($A72-(Premissas!$B$54+Premissas!$B$55)&gt;=1,INDEX($G$5:$G$94,$A72-(Premissas!$B$54+Premissas!$B$55)),0)*Unitário!$B$21*(Premissas!$B$51-(1-Premissas!$B$61)*Unitário!$B$24-(1-Premissas!$B$63)*Unitário!$B$25-(1-Premissas!$B$59)*Unitário!$B$22)</f>
        <v>0</v>
      </c>
      <c r="M72" s="13" t="n">
        <f aca="false">IF($A72-(Premissas!$B$56)&gt;=1,INDEX($H$5:$H$94,$A72-(Premissas!$B$56)),0)*(Premissas!$B$52-Unitário!$B$27)</f>
        <v>0</v>
      </c>
      <c r="N72" s="13" t="n">
        <f aca="false">-IF($A72-(Premissas!$B$60)&gt;=1,INDEX($H$5:$H$94,$A72-(Premissas!$B$60)),0)*(Premissas!$B$59*Unitário!$B$22+Premissas!$B$31)</f>
        <v>-0</v>
      </c>
      <c r="O72" s="13" t="n">
        <f aca="false">IF($A72-(Premissas!$B$54+Premissas!$B$57)&gt;=1,INDEX($H$5:$H$94,$A72-(Premissas!$B$54+Premissas!$B$57)),0)*Premissas!$B$27*(-Premissas!$B$52-Premissas!$B$41+Unitário!$B$27+(1-Premissas!$B$62)*Premissas!$B$31+Premissas!$B$59*Unitário!$B$22)</f>
        <v>-0</v>
      </c>
      <c r="P72" s="13" t="n">
        <f aca="false">-Premissas!$B$42*(IF($A72-(Premissas!$B$54+Premissas!$B$55)&gt;=1,INDEX($G$5:$G$94,$A72-(Premissas!$B$54+Premissas!$B$55)),0)*Unitário!$B$21*Premissas!$B$51+IF($A72-(Premissas!$B$56)&gt;=1,INDEX($H$5:$H$94,$A72-(Premissas!$B$56)),0)*(1-Premissas!$B$27)*Premissas!$B$52)</f>
        <v>-0</v>
      </c>
      <c r="Q72" s="13" t="n">
        <f aca="false">-IF(AND(DAY(B72+Premissas!$B$15)=Premissas!$B$16,B72+Premissas!$B$15&gt;=DATE(YEAR(Premissas!$B$11),MONTH(Premissas!$B$11)+1,Premissas!$B$16)),Premissas!$B$43,0)-IF(OR(E72&lt;0,F72&lt;0,IF(AND(DAY(B72+Premissas!$B$15)=Premissas!$B$16,B72+Premissas!$B$15&gt;=DATE(YEAR(Premissas!$B$11),MONTH(Premissas!$B$11)+1,Premissas!$B$16)),Premissas!$B$43,0)&gt;0),Premissas!$B$67*Premissas!$B$68,0)</f>
        <v>-0</v>
      </c>
      <c r="R72" s="13" t="n">
        <f aca="false">E72+F72+SUM(I72:Q72)</f>
        <v>0</v>
      </c>
      <c r="S72" s="13" t="n">
        <f aca="false">S71+R72</f>
        <v>1374.73938121533</v>
      </c>
      <c r="T72" s="16" t="n">
        <f aca="false">IF(AND($A72&gt;$B$100,S72&gt;=0),1,0)</f>
        <v>1</v>
      </c>
      <c r="U72" s="13" t="n">
        <f aca="false">S72-SUM($E$5:E72)-(1+Premissas!$B$17)*SUM($C$5:C72)</f>
        <v>1374.73938121533</v>
      </c>
      <c r="V72" s="13" t="n">
        <f aca="false">(G72+H72)*Premissas!$B$21</f>
        <v>0</v>
      </c>
      <c r="W72" s="16" t="n">
        <f aca="false">IF(V72&gt;0,DATE(YEAR(B72),MONTH(B72)+1,Premissas!$B$16)-Premissas!$B$11+1-Premissas!$B$15,0)</f>
        <v>0</v>
      </c>
      <c r="X72" s="13" t="n">
        <f aca="false">X71-Y71+C72*(1+Premissas!$B$17)</f>
        <v>0</v>
      </c>
      <c r="Y72" s="13" t="n">
        <f aca="false">IF(OR(X72&gt;=Premissas!$B$13,B72=DATE(YEAR(B72),MONTH(B72)+1,0)),X72,0)</f>
        <v>0</v>
      </c>
      <c r="Z72" s="13" t="n">
        <f aca="false">Z71-AA71+C72/Premissas!$B$18*Premissas!$B$20</f>
        <v>0</v>
      </c>
      <c r="AA72" s="13" t="n">
        <f aca="false">IF(OR(Z72&gt;=Premissas!$B$14,B72=DATE(YEAR(B72),MONTH(B72)+1,0)),Z72,0)</f>
        <v>0</v>
      </c>
      <c r="AB72" s="16" t="n">
        <f aca="false">IF(AA72&gt;0,IF(DAY(B72)&lt;=Premissas!$B$12,DATE(YEAR(B72),MONTH(B72),Premissas!$B$16),DATE(YEAR(B72),MONTH(B72)+1,Premissas!$B$16))-Premissas!$B$11+1-Premissas!$B$15,0)</f>
        <v>0</v>
      </c>
    </row>
    <row r="73" customFormat="false" ht="15" hidden="false" customHeight="true" outlineLevel="0" collapsed="false">
      <c r="A73" s="16" t="n">
        <v>69</v>
      </c>
      <c r="B73" s="31" t="n">
        <f aca="false">Premissas!$B$11+A73-1</f>
        <v>46386</v>
      </c>
      <c r="C73" s="13" t="n">
        <f aca="false">IF(A73&lt;=Premissas!$B$7,Premissas!$B$6/Premissas!$B$7,IF(A73&lt;=Premissas!$B$7+Premissas!$B$8,0,IF(A73&lt;=Premissas!$B$7+Premissas!$B$8+Premissas!$B$10,Premissas!$B$9/Premissas!$B$10,0)))</f>
        <v>0</v>
      </c>
      <c r="D73" s="16" t="n">
        <f aca="false">IF(Y73&gt;0,IF(DAY(B73)&lt;=Premissas!$B$12,DATE(YEAR(B73),MONTH(B73),Premissas!$B$16),DATE(YEAR(B73),MONTH(B73)+1,Premissas!$B$16))-Premissas!$B$11+1-Premissas!$B$15,0)</f>
        <v>0</v>
      </c>
      <c r="E73" s="13" t="n">
        <f aca="false">-SUMIF($D$5:$D$94,A73,$Y$5:$Y$94)</f>
        <v>-0</v>
      </c>
      <c r="F73" s="13" t="n">
        <f aca="false">-SUMIF($W$5:$W$94,A73,$V$5:$V$94)-SUMIF($AB$5:$AB$94,A73,$AA$5:$AA$94)</f>
        <v>-0</v>
      </c>
      <c r="G73" s="30" t="n">
        <f aca="false">C73/Premissas!$B$18*Premissas!$B$19*Premissas!$B$23</f>
        <v>0</v>
      </c>
      <c r="H73" s="30" t="n">
        <f aca="false">C73/Premissas!$B$18*Premissas!$B$19*Premissas!$B$24</f>
        <v>0</v>
      </c>
      <c r="I73" s="13" t="n">
        <f aca="false">-IF($A73-(Premissas!$B$60)&gt;=1,INDEX($G$5:$G$94,$A73-(Premissas!$B$60)),0)*(Premissas!$B$59*Unitário!$B$22+(Premissas!$B$61*Unitário!$B$24+Premissas!$B$63*Unitário!$B$25))</f>
        <v>-0</v>
      </c>
      <c r="J73" s="13" t="n">
        <f aca="false">IF($A73-(Premissas!$B$54)&gt;=1,INDEX($G$5:$G$94,$A73-(Premissas!$B$54)),0)*Premissas!$B$26*((Premissas!$B$59*Unitário!$B$22+(Premissas!$B$61*Unitário!$B$24+Premissas!$B$63*Unitário!$B$25))-Premissas!$B$39)</f>
        <v>0</v>
      </c>
      <c r="K73" s="13" t="n">
        <f aca="false">IF($A73-(Premissas!$B$54+Premissas!$B$57)&gt;=1,INDEX($G$5:$G$94,$A73-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73" s="13" t="n">
        <f aca="false">IF($A73-(Premissas!$B$54+Premissas!$B$55)&gt;=1,INDEX($G$5:$G$94,$A73-(Premissas!$B$54+Premissas!$B$55)),0)*Unitário!$B$21*(Premissas!$B$51-(1-Premissas!$B$61)*Unitário!$B$24-(1-Premissas!$B$63)*Unitário!$B$25-(1-Premissas!$B$59)*Unitário!$B$22)</f>
        <v>0</v>
      </c>
      <c r="M73" s="13" t="n">
        <f aca="false">IF($A73-(Premissas!$B$56)&gt;=1,INDEX($H$5:$H$94,$A73-(Premissas!$B$56)),0)*(Premissas!$B$52-Unitário!$B$27)</f>
        <v>0</v>
      </c>
      <c r="N73" s="13" t="n">
        <f aca="false">-IF($A73-(Premissas!$B$60)&gt;=1,INDEX($H$5:$H$94,$A73-(Premissas!$B$60)),0)*(Premissas!$B$59*Unitário!$B$22+Premissas!$B$31)</f>
        <v>-0</v>
      </c>
      <c r="O73" s="13" t="n">
        <f aca="false">IF($A73-(Premissas!$B$54+Premissas!$B$57)&gt;=1,INDEX($H$5:$H$94,$A73-(Premissas!$B$54+Premissas!$B$57)),0)*Premissas!$B$27*(-Premissas!$B$52-Premissas!$B$41+Unitário!$B$27+(1-Premissas!$B$62)*Premissas!$B$31+Premissas!$B$59*Unitário!$B$22)</f>
        <v>-0</v>
      </c>
      <c r="P73" s="13" t="n">
        <f aca="false">-Premissas!$B$42*(IF($A73-(Premissas!$B$54+Premissas!$B$55)&gt;=1,INDEX($G$5:$G$94,$A73-(Premissas!$B$54+Premissas!$B$55)),0)*Unitário!$B$21*Premissas!$B$51+IF($A73-(Premissas!$B$56)&gt;=1,INDEX($H$5:$H$94,$A73-(Premissas!$B$56)),0)*(1-Premissas!$B$27)*Premissas!$B$52)</f>
        <v>-0</v>
      </c>
      <c r="Q73" s="13" t="n">
        <f aca="false">-IF(AND(DAY(B73+Premissas!$B$15)=Premissas!$B$16,B73+Premissas!$B$15&gt;=DATE(YEAR(Premissas!$B$11),MONTH(Premissas!$B$11)+1,Premissas!$B$16)),Premissas!$B$43,0)-IF(OR(E73&lt;0,F73&lt;0,IF(AND(DAY(B73+Premissas!$B$15)=Premissas!$B$16,B73+Premissas!$B$15&gt;=DATE(YEAR(Premissas!$B$11),MONTH(Premissas!$B$11)+1,Premissas!$B$16)),Premissas!$B$43,0)&gt;0),Premissas!$B$67*Premissas!$B$68,0)</f>
        <v>-0</v>
      </c>
      <c r="R73" s="13" t="n">
        <f aca="false">E73+F73+SUM(I73:Q73)</f>
        <v>0</v>
      </c>
      <c r="S73" s="13" t="n">
        <f aca="false">S72+R73</f>
        <v>1374.73938121533</v>
      </c>
      <c r="T73" s="16" t="n">
        <f aca="false">IF(AND($A73&gt;$B$100,S73&gt;=0),1,0)</f>
        <v>1</v>
      </c>
      <c r="U73" s="13" t="n">
        <f aca="false">S73-SUM($E$5:E73)-(1+Premissas!$B$17)*SUM($C$5:C73)</f>
        <v>1374.73938121533</v>
      </c>
      <c r="V73" s="13" t="n">
        <f aca="false">(G73+H73)*Premissas!$B$21</f>
        <v>0</v>
      </c>
      <c r="W73" s="16" t="n">
        <f aca="false">IF(V73&gt;0,DATE(YEAR(B73),MONTH(B73)+1,Premissas!$B$16)-Premissas!$B$11+1-Premissas!$B$15,0)</f>
        <v>0</v>
      </c>
      <c r="X73" s="13" t="n">
        <f aca="false">X72-Y72+C73*(1+Premissas!$B$17)</f>
        <v>0</v>
      </c>
      <c r="Y73" s="13" t="n">
        <f aca="false">IF(OR(X73&gt;=Premissas!$B$13,B73=DATE(YEAR(B73),MONTH(B73)+1,0)),X73,0)</f>
        <v>0</v>
      </c>
      <c r="Z73" s="13" t="n">
        <f aca="false">Z72-AA72+C73/Premissas!$B$18*Premissas!$B$20</f>
        <v>0</v>
      </c>
      <c r="AA73" s="13" t="n">
        <f aca="false">IF(OR(Z73&gt;=Premissas!$B$14,B73=DATE(YEAR(B73),MONTH(B73)+1,0)),Z73,0)</f>
        <v>0</v>
      </c>
      <c r="AB73" s="16" t="n">
        <f aca="false">IF(AA73&gt;0,IF(DAY(B73)&lt;=Premissas!$B$12,DATE(YEAR(B73),MONTH(B73),Premissas!$B$16),DATE(YEAR(B73),MONTH(B73)+1,Premissas!$B$16))-Premissas!$B$11+1-Premissas!$B$15,0)</f>
        <v>0</v>
      </c>
    </row>
    <row r="74" customFormat="false" ht="15" hidden="false" customHeight="true" outlineLevel="0" collapsed="false">
      <c r="A74" s="16" t="n">
        <v>70</v>
      </c>
      <c r="B74" s="31" t="n">
        <f aca="false">Premissas!$B$11+A74-1</f>
        <v>46387</v>
      </c>
      <c r="C74" s="13" t="n">
        <f aca="false">IF(A74&lt;=Premissas!$B$7,Premissas!$B$6/Premissas!$B$7,IF(A74&lt;=Premissas!$B$7+Premissas!$B$8,0,IF(A74&lt;=Premissas!$B$7+Premissas!$B$8+Premissas!$B$10,Premissas!$B$9/Premissas!$B$10,0)))</f>
        <v>0</v>
      </c>
      <c r="D74" s="16" t="n">
        <f aca="false">IF(Y74&gt;0,IF(DAY(B74)&lt;=Premissas!$B$12,DATE(YEAR(B74),MONTH(B74),Premissas!$B$16),DATE(YEAR(B74),MONTH(B74)+1,Premissas!$B$16))-Premissas!$B$11+1-Premissas!$B$15,0)</f>
        <v>0</v>
      </c>
      <c r="E74" s="13" t="n">
        <f aca="false">-SUMIF($D$5:$D$94,A74,$Y$5:$Y$94)</f>
        <v>-0</v>
      </c>
      <c r="F74" s="13" t="n">
        <f aca="false">-SUMIF($W$5:$W$94,A74,$V$5:$V$94)-SUMIF($AB$5:$AB$94,A74,$AA$5:$AA$94)</f>
        <v>-0</v>
      </c>
      <c r="G74" s="30" t="n">
        <f aca="false">C74/Premissas!$B$18*Premissas!$B$19*Premissas!$B$23</f>
        <v>0</v>
      </c>
      <c r="H74" s="30" t="n">
        <f aca="false">C74/Premissas!$B$18*Premissas!$B$19*Premissas!$B$24</f>
        <v>0</v>
      </c>
      <c r="I74" s="13" t="n">
        <f aca="false">-IF($A74-(Premissas!$B$60)&gt;=1,INDEX($G$5:$G$94,$A74-(Premissas!$B$60)),0)*(Premissas!$B$59*Unitário!$B$22+(Premissas!$B$61*Unitário!$B$24+Premissas!$B$63*Unitário!$B$25))</f>
        <v>-0</v>
      </c>
      <c r="J74" s="13" t="n">
        <f aca="false">IF($A74-(Premissas!$B$54)&gt;=1,INDEX($G$5:$G$94,$A74-(Premissas!$B$54)),0)*Premissas!$B$26*((Premissas!$B$59*Unitário!$B$22+(Premissas!$B$61*Unitário!$B$24+Premissas!$B$63*Unitário!$B$25))-Premissas!$B$39)</f>
        <v>0</v>
      </c>
      <c r="K74" s="13" t="n">
        <f aca="false">IF($A74-(Premissas!$B$54+Premissas!$B$57)&gt;=1,INDEX($G$5:$G$94,$A74-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74" s="13" t="n">
        <f aca="false">IF($A74-(Premissas!$B$54+Premissas!$B$55)&gt;=1,INDEX($G$5:$G$94,$A74-(Premissas!$B$54+Premissas!$B$55)),0)*Unitário!$B$21*(Premissas!$B$51-(1-Premissas!$B$61)*Unitário!$B$24-(1-Premissas!$B$63)*Unitário!$B$25-(1-Premissas!$B$59)*Unitário!$B$22)</f>
        <v>0</v>
      </c>
      <c r="M74" s="13" t="n">
        <f aca="false">IF($A74-(Premissas!$B$56)&gt;=1,INDEX($H$5:$H$94,$A74-(Premissas!$B$56)),0)*(Premissas!$B$52-Unitário!$B$27)</f>
        <v>0</v>
      </c>
      <c r="N74" s="13" t="n">
        <f aca="false">-IF($A74-(Premissas!$B$60)&gt;=1,INDEX($H$5:$H$94,$A74-(Premissas!$B$60)),0)*(Premissas!$B$59*Unitário!$B$22+Premissas!$B$31)</f>
        <v>-0</v>
      </c>
      <c r="O74" s="13" t="n">
        <f aca="false">IF($A74-(Premissas!$B$54+Premissas!$B$57)&gt;=1,INDEX($H$5:$H$94,$A74-(Premissas!$B$54+Premissas!$B$57)),0)*Premissas!$B$27*(-Premissas!$B$52-Premissas!$B$41+Unitário!$B$27+(1-Premissas!$B$62)*Premissas!$B$31+Premissas!$B$59*Unitário!$B$22)</f>
        <v>-0</v>
      </c>
      <c r="P74" s="13" t="n">
        <f aca="false">-Premissas!$B$42*(IF($A74-(Premissas!$B$54+Premissas!$B$55)&gt;=1,INDEX($G$5:$G$94,$A74-(Premissas!$B$54+Premissas!$B$55)),0)*Unitário!$B$21*Premissas!$B$51+IF($A74-(Premissas!$B$56)&gt;=1,INDEX($H$5:$H$94,$A74-(Premissas!$B$56)),0)*(1-Premissas!$B$27)*Premissas!$B$52)</f>
        <v>-0</v>
      </c>
      <c r="Q74" s="13" t="n">
        <f aca="false">-IF(AND(DAY(B74+Premissas!$B$15)=Premissas!$B$16,B74+Premissas!$B$15&gt;=DATE(YEAR(Premissas!$B$11),MONTH(Premissas!$B$11)+1,Premissas!$B$16)),Premissas!$B$43,0)-IF(OR(E74&lt;0,F74&lt;0,IF(AND(DAY(B74+Premissas!$B$15)=Premissas!$B$16,B74+Premissas!$B$15&gt;=DATE(YEAR(Premissas!$B$11),MONTH(Premissas!$B$11)+1,Premissas!$B$16)),Premissas!$B$43,0)&gt;0),Premissas!$B$67*Premissas!$B$68,0)</f>
        <v>-0</v>
      </c>
      <c r="R74" s="13" t="n">
        <f aca="false">E74+F74+SUM(I74:Q74)</f>
        <v>0</v>
      </c>
      <c r="S74" s="13" t="n">
        <f aca="false">S73+R74</f>
        <v>1374.73938121533</v>
      </c>
      <c r="T74" s="16" t="n">
        <f aca="false">IF(AND($A74&gt;$B$100,S74&gt;=0),1,0)</f>
        <v>1</v>
      </c>
      <c r="U74" s="13" t="n">
        <f aca="false">S74-SUM($E$5:E74)-(1+Premissas!$B$17)*SUM($C$5:C74)</f>
        <v>1374.73938121533</v>
      </c>
      <c r="V74" s="13" t="n">
        <f aca="false">(G74+H74)*Premissas!$B$21</f>
        <v>0</v>
      </c>
      <c r="W74" s="16" t="n">
        <f aca="false">IF(V74&gt;0,DATE(YEAR(B74),MONTH(B74)+1,Premissas!$B$16)-Premissas!$B$11+1-Premissas!$B$15,0)</f>
        <v>0</v>
      </c>
      <c r="X74" s="13" t="n">
        <f aca="false">X73-Y73+C74*(1+Premissas!$B$17)</f>
        <v>0</v>
      </c>
      <c r="Y74" s="13" t="n">
        <f aca="false">IF(OR(X74&gt;=Premissas!$B$13,B74=DATE(YEAR(B74),MONTH(B74)+1,0)),X74,0)</f>
        <v>0</v>
      </c>
      <c r="Z74" s="13" t="n">
        <f aca="false">Z73-AA73+C74/Premissas!$B$18*Premissas!$B$20</f>
        <v>0</v>
      </c>
      <c r="AA74" s="13" t="n">
        <f aca="false">IF(OR(Z74&gt;=Premissas!$B$14,B74=DATE(YEAR(B74),MONTH(B74)+1,0)),Z74,0)</f>
        <v>0</v>
      </c>
      <c r="AB74" s="16" t="n">
        <f aca="false">IF(AA74&gt;0,IF(DAY(B74)&lt;=Premissas!$B$12,DATE(YEAR(B74),MONTH(B74),Premissas!$B$16),DATE(YEAR(B74),MONTH(B74)+1,Premissas!$B$16))-Premissas!$B$11+1-Premissas!$B$15,0)</f>
        <v>0</v>
      </c>
    </row>
    <row r="75" customFormat="false" ht="15" hidden="false" customHeight="true" outlineLevel="0" collapsed="false">
      <c r="A75" s="16" t="n">
        <v>71</v>
      </c>
      <c r="B75" s="31" t="n">
        <f aca="false">Premissas!$B$11+A75-1</f>
        <v>46388</v>
      </c>
      <c r="C75" s="13" t="n">
        <f aca="false">IF(A75&lt;=Premissas!$B$7,Premissas!$B$6/Premissas!$B$7,IF(A75&lt;=Premissas!$B$7+Premissas!$B$8,0,IF(A75&lt;=Premissas!$B$7+Premissas!$B$8+Premissas!$B$10,Premissas!$B$9/Premissas!$B$10,0)))</f>
        <v>0</v>
      </c>
      <c r="D75" s="16" t="n">
        <f aca="false">IF(Y75&gt;0,IF(DAY(B75)&lt;=Premissas!$B$12,DATE(YEAR(B75),MONTH(B75),Premissas!$B$16),DATE(YEAR(B75),MONTH(B75)+1,Premissas!$B$16))-Premissas!$B$11+1-Premissas!$B$15,0)</f>
        <v>0</v>
      </c>
      <c r="E75" s="13" t="n">
        <f aca="false">-SUMIF($D$5:$D$94,A75,$Y$5:$Y$94)</f>
        <v>-0</v>
      </c>
      <c r="F75" s="13" t="n">
        <f aca="false">-SUMIF($W$5:$W$94,A75,$V$5:$V$94)-SUMIF($AB$5:$AB$94,A75,$AA$5:$AA$94)</f>
        <v>-0</v>
      </c>
      <c r="G75" s="30" t="n">
        <f aca="false">C75/Premissas!$B$18*Premissas!$B$19*Premissas!$B$23</f>
        <v>0</v>
      </c>
      <c r="H75" s="30" t="n">
        <f aca="false">C75/Premissas!$B$18*Premissas!$B$19*Premissas!$B$24</f>
        <v>0</v>
      </c>
      <c r="I75" s="13" t="n">
        <f aca="false">-IF($A75-(Premissas!$B$60)&gt;=1,INDEX($G$5:$G$94,$A75-(Premissas!$B$60)),0)*(Premissas!$B$59*Unitário!$B$22+(Premissas!$B$61*Unitário!$B$24+Premissas!$B$63*Unitário!$B$25))</f>
        <v>-0</v>
      </c>
      <c r="J75" s="13" t="n">
        <f aca="false">IF($A75-(Premissas!$B$54)&gt;=1,INDEX($G$5:$G$94,$A75-(Premissas!$B$54)),0)*Premissas!$B$26*((Premissas!$B$59*Unitário!$B$22+(Premissas!$B$61*Unitário!$B$24+Premissas!$B$63*Unitário!$B$25))-Premissas!$B$39)</f>
        <v>0</v>
      </c>
      <c r="K75" s="13" t="n">
        <f aca="false">IF($A75-(Premissas!$B$54+Premissas!$B$57)&gt;=1,INDEX($G$5:$G$94,$A75-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75" s="13" t="n">
        <f aca="false">IF($A75-(Premissas!$B$54+Premissas!$B$55)&gt;=1,INDEX($G$5:$G$94,$A75-(Premissas!$B$54+Premissas!$B$55)),0)*Unitário!$B$21*(Premissas!$B$51-(1-Premissas!$B$61)*Unitário!$B$24-(1-Premissas!$B$63)*Unitário!$B$25-(1-Premissas!$B$59)*Unitário!$B$22)</f>
        <v>0</v>
      </c>
      <c r="M75" s="13" t="n">
        <f aca="false">IF($A75-(Premissas!$B$56)&gt;=1,INDEX($H$5:$H$94,$A75-(Premissas!$B$56)),0)*(Premissas!$B$52-Unitário!$B$27)</f>
        <v>0</v>
      </c>
      <c r="N75" s="13" t="n">
        <f aca="false">-IF($A75-(Premissas!$B$60)&gt;=1,INDEX($H$5:$H$94,$A75-(Premissas!$B$60)),0)*(Premissas!$B$59*Unitário!$B$22+Premissas!$B$31)</f>
        <v>-0</v>
      </c>
      <c r="O75" s="13" t="n">
        <f aca="false">IF($A75-(Premissas!$B$54+Premissas!$B$57)&gt;=1,INDEX($H$5:$H$94,$A75-(Premissas!$B$54+Premissas!$B$57)),0)*Premissas!$B$27*(-Premissas!$B$52-Premissas!$B$41+Unitário!$B$27+(1-Premissas!$B$62)*Premissas!$B$31+Premissas!$B$59*Unitário!$B$22)</f>
        <v>-0</v>
      </c>
      <c r="P75" s="13" t="n">
        <f aca="false">-Premissas!$B$42*(IF($A75-(Premissas!$B$54+Premissas!$B$55)&gt;=1,INDEX($G$5:$G$94,$A75-(Premissas!$B$54+Premissas!$B$55)),0)*Unitário!$B$21*Premissas!$B$51+IF($A75-(Premissas!$B$56)&gt;=1,INDEX($H$5:$H$94,$A75-(Premissas!$B$56)),0)*(1-Premissas!$B$27)*Premissas!$B$52)</f>
        <v>-0</v>
      </c>
      <c r="Q75" s="13" t="n">
        <f aca="false">-IF(AND(DAY(B75+Premissas!$B$15)=Premissas!$B$16,B75+Premissas!$B$15&gt;=DATE(YEAR(Premissas!$B$11),MONTH(Premissas!$B$11)+1,Premissas!$B$16)),Premissas!$B$43,0)-IF(OR(E75&lt;0,F75&lt;0,IF(AND(DAY(B75+Premissas!$B$15)=Premissas!$B$16,B75+Premissas!$B$15&gt;=DATE(YEAR(Premissas!$B$11),MONTH(Premissas!$B$11)+1,Premissas!$B$16)),Premissas!$B$43,0)&gt;0),Premissas!$B$67*Premissas!$B$68,0)</f>
        <v>-0</v>
      </c>
      <c r="R75" s="13" t="n">
        <f aca="false">E75+F75+SUM(I75:Q75)</f>
        <v>0</v>
      </c>
      <c r="S75" s="13" t="n">
        <f aca="false">S74+R75</f>
        <v>1374.73938121533</v>
      </c>
      <c r="T75" s="16" t="n">
        <f aca="false">IF(AND($A75&gt;$B$100,S75&gt;=0),1,0)</f>
        <v>1</v>
      </c>
      <c r="U75" s="13" t="n">
        <f aca="false">S75-SUM($E$5:E75)-(1+Premissas!$B$17)*SUM($C$5:C75)</f>
        <v>1374.73938121533</v>
      </c>
      <c r="V75" s="13" t="n">
        <f aca="false">(G75+H75)*Premissas!$B$21</f>
        <v>0</v>
      </c>
      <c r="W75" s="16" t="n">
        <f aca="false">IF(V75&gt;0,DATE(YEAR(B75),MONTH(B75)+1,Premissas!$B$16)-Premissas!$B$11+1-Premissas!$B$15,0)</f>
        <v>0</v>
      </c>
      <c r="X75" s="13" t="n">
        <f aca="false">X74-Y74+C75*(1+Premissas!$B$17)</f>
        <v>0</v>
      </c>
      <c r="Y75" s="13" t="n">
        <f aca="false">IF(OR(X75&gt;=Premissas!$B$13,B75=DATE(YEAR(B75),MONTH(B75)+1,0)),X75,0)</f>
        <v>0</v>
      </c>
      <c r="Z75" s="13" t="n">
        <f aca="false">Z74-AA74+C75/Premissas!$B$18*Premissas!$B$20</f>
        <v>0</v>
      </c>
      <c r="AA75" s="13" t="n">
        <f aca="false">IF(OR(Z75&gt;=Premissas!$B$14,B75=DATE(YEAR(B75),MONTH(B75)+1,0)),Z75,0)</f>
        <v>0</v>
      </c>
      <c r="AB75" s="16" t="n">
        <f aca="false">IF(AA75&gt;0,IF(DAY(B75)&lt;=Premissas!$B$12,DATE(YEAR(B75),MONTH(B75),Premissas!$B$16),DATE(YEAR(B75),MONTH(B75)+1,Premissas!$B$16))-Premissas!$B$11+1-Premissas!$B$15,0)</f>
        <v>0</v>
      </c>
    </row>
    <row r="76" customFormat="false" ht="15" hidden="false" customHeight="true" outlineLevel="0" collapsed="false">
      <c r="A76" s="16" t="n">
        <v>72</v>
      </c>
      <c r="B76" s="31" t="n">
        <f aca="false">Premissas!$B$11+A76-1</f>
        <v>46389</v>
      </c>
      <c r="C76" s="13" t="n">
        <f aca="false">IF(A76&lt;=Premissas!$B$7,Premissas!$B$6/Premissas!$B$7,IF(A76&lt;=Premissas!$B$7+Premissas!$B$8,0,IF(A76&lt;=Premissas!$B$7+Premissas!$B$8+Premissas!$B$10,Premissas!$B$9/Premissas!$B$10,0)))</f>
        <v>0</v>
      </c>
      <c r="D76" s="16" t="n">
        <f aca="false">IF(Y76&gt;0,IF(DAY(B76)&lt;=Premissas!$B$12,DATE(YEAR(B76),MONTH(B76),Premissas!$B$16),DATE(YEAR(B76),MONTH(B76)+1,Premissas!$B$16))-Premissas!$B$11+1-Premissas!$B$15,0)</f>
        <v>0</v>
      </c>
      <c r="E76" s="13" t="n">
        <f aca="false">-SUMIF($D$5:$D$94,A76,$Y$5:$Y$94)</f>
        <v>-0</v>
      </c>
      <c r="F76" s="13" t="n">
        <f aca="false">-SUMIF($W$5:$W$94,A76,$V$5:$V$94)-SUMIF($AB$5:$AB$94,A76,$AA$5:$AA$94)</f>
        <v>-0</v>
      </c>
      <c r="G76" s="30" t="n">
        <f aca="false">C76/Premissas!$B$18*Premissas!$B$19*Premissas!$B$23</f>
        <v>0</v>
      </c>
      <c r="H76" s="30" t="n">
        <f aca="false">C76/Premissas!$B$18*Premissas!$B$19*Premissas!$B$24</f>
        <v>0</v>
      </c>
      <c r="I76" s="13" t="n">
        <f aca="false">-IF($A76-(Premissas!$B$60)&gt;=1,INDEX($G$5:$G$94,$A76-(Premissas!$B$60)),0)*(Premissas!$B$59*Unitário!$B$22+(Premissas!$B$61*Unitário!$B$24+Premissas!$B$63*Unitário!$B$25))</f>
        <v>-0</v>
      </c>
      <c r="J76" s="13" t="n">
        <f aca="false">IF($A76-(Premissas!$B$54)&gt;=1,INDEX($G$5:$G$94,$A76-(Premissas!$B$54)),0)*Premissas!$B$26*((Premissas!$B$59*Unitário!$B$22+(Premissas!$B$61*Unitário!$B$24+Premissas!$B$63*Unitário!$B$25))-Premissas!$B$39)</f>
        <v>0</v>
      </c>
      <c r="K76" s="13" t="n">
        <f aca="false">IF($A76-(Premissas!$B$54+Premissas!$B$57)&gt;=1,INDEX($G$5:$G$94,$A76-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76" s="13" t="n">
        <f aca="false">IF($A76-(Premissas!$B$54+Premissas!$B$55)&gt;=1,INDEX($G$5:$G$94,$A76-(Premissas!$B$54+Premissas!$B$55)),0)*Unitário!$B$21*(Premissas!$B$51-(1-Premissas!$B$61)*Unitário!$B$24-(1-Premissas!$B$63)*Unitário!$B$25-(1-Premissas!$B$59)*Unitário!$B$22)</f>
        <v>0</v>
      </c>
      <c r="M76" s="13" t="n">
        <f aca="false">IF($A76-(Premissas!$B$56)&gt;=1,INDEX($H$5:$H$94,$A76-(Premissas!$B$56)),0)*(Premissas!$B$52-Unitário!$B$27)</f>
        <v>0</v>
      </c>
      <c r="N76" s="13" t="n">
        <f aca="false">-IF($A76-(Premissas!$B$60)&gt;=1,INDEX($H$5:$H$94,$A76-(Premissas!$B$60)),0)*(Premissas!$B$59*Unitário!$B$22+Premissas!$B$31)</f>
        <v>-0</v>
      </c>
      <c r="O76" s="13" t="n">
        <f aca="false">IF($A76-(Premissas!$B$54+Premissas!$B$57)&gt;=1,INDEX($H$5:$H$94,$A76-(Premissas!$B$54+Premissas!$B$57)),0)*Premissas!$B$27*(-Premissas!$B$52-Premissas!$B$41+Unitário!$B$27+(1-Premissas!$B$62)*Premissas!$B$31+Premissas!$B$59*Unitário!$B$22)</f>
        <v>-0</v>
      </c>
      <c r="P76" s="13" t="n">
        <f aca="false">-Premissas!$B$42*(IF($A76-(Premissas!$B$54+Premissas!$B$55)&gt;=1,INDEX($G$5:$G$94,$A76-(Premissas!$B$54+Premissas!$B$55)),0)*Unitário!$B$21*Premissas!$B$51+IF($A76-(Premissas!$B$56)&gt;=1,INDEX($H$5:$H$94,$A76-(Premissas!$B$56)),0)*(1-Premissas!$B$27)*Premissas!$B$52)</f>
        <v>-0</v>
      </c>
      <c r="Q76" s="13" t="n">
        <f aca="false">-IF(AND(DAY(B76+Premissas!$B$15)=Premissas!$B$16,B76+Premissas!$B$15&gt;=DATE(YEAR(Premissas!$B$11),MONTH(Premissas!$B$11)+1,Premissas!$B$16)),Premissas!$B$43,0)-IF(OR(E76&lt;0,F76&lt;0,IF(AND(DAY(B76+Premissas!$B$15)=Premissas!$B$16,B76+Premissas!$B$15&gt;=DATE(YEAR(Premissas!$B$11),MONTH(Premissas!$B$11)+1,Premissas!$B$16)),Premissas!$B$43,0)&gt;0),Premissas!$B$67*Premissas!$B$68,0)</f>
        <v>-0</v>
      </c>
      <c r="R76" s="13" t="n">
        <f aca="false">E76+F76+SUM(I76:Q76)</f>
        <v>0</v>
      </c>
      <c r="S76" s="13" t="n">
        <f aca="false">S75+R76</f>
        <v>1374.73938121533</v>
      </c>
      <c r="T76" s="16" t="n">
        <f aca="false">IF(AND($A76&gt;$B$100,S76&gt;=0),1,0)</f>
        <v>1</v>
      </c>
      <c r="U76" s="13" t="n">
        <f aca="false">S76-SUM($E$5:E76)-(1+Premissas!$B$17)*SUM($C$5:C76)</f>
        <v>1374.73938121533</v>
      </c>
      <c r="V76" s="13" t="n">
        <f aca="false">(G76+H76)*Premissas!$B$21</f>
        <v>0</v>
      </c>
      <c r="W76" s="16" t="n">
        <f aca="false">IF(V76&gt;0,DATE(YEAR(B76),MONTH(B76)+1,Premissas!$B$16)-Premissas!$B$11+1-Premissas!$B$15,0)</f>
        <v>0</v>
      </c>
      <c r="X76" s="13" t="n">
        <f aca="false">X75-Y75+C76*(1+Premissas!$B$17)</f>
        <v>0</v>
      </c>
      <c r="Y76" s="13" t="n">
        <f aca="false">IF(OR(X76&gt;=Premissas!$B$13,B76=DATE(YEAR(B76),MONTH(B76)+1,0)),X76,0)</f>
        <v>0</v>
      </c>
      <c r="Z76" s="13" t="n">
        <f aca="false">Z75-AA75+C76/Premissas!$B$18*Premissas!$B$20</f>
        <v>0</v>
      </c>
      <c r="AA76" s="13" t="n">
        <f aca="false">IF(OR(Z76&gt;=Premissas!$B$14,B76=DATE(YEAR(B76),MONTH(B76)+1,0)),Z76,0)</f>
        <v>0</v>
      </c>
      <c r="AB76" s="16" t="n">
        <f aca="false">IF(AA76&gt;0,IF(DAY(B76)&lt;=Premissas!$B$12,DATE(YEAR(B76),MONTH(B76),Premissas!$B$16),DATE(YEAR(B76),MONTH(B76)+1,Premissas!$B$16))-Premissas!$B$11+1-Premissas!$B$15,0)</f>
        <v>0</v>
      </c>
    </row>
    <row r="77" customFormat="false" ht="15" hidden="false" customHeight="true" outlineLevel="0" collapsed="false">
      <c r="A77" s="16" t="n">
        <v>73</v>
      </c>
      <c r="B77" s="31" t="n">
        <f aca="false">Premissas!$B$11+A77-1</f>
        <v>46390</v>
      </c>
      <c r="C77" s="13" t="n">
        <f aca="false">IF(A77&lt;=Premissas!$B$7,Premissas!$B$6/Premissas!$B$7,IF(A77&lt;=Premissas!$B$7+Premissas!$B$8,0,IF(A77&lt;=Premissas!$B$7+Premissas!$B$8+Premissas!$B$10,Premissas!$B$9/Premissas!$B$10,0)))</f>
        <v>0</v>
      </c>
      <c r="D77" s="16" t="n">
        <f aca="false">IF(Y77&gt;0,IF(DAY(B77)&lt;=Premissas!$B$12,DATE(YEAR(B77),MONTH(B77),Premissas!$B$16),DATE(YEAR(B77),MONTH(B77)+1,Premissas!$B$16))-Premissas!$B$11+1-Premissas!$B$15,0)</f>
        <v>0</v>
      </c>
      <c r="E77" s="13" t="n">
        <f aca="false">-SUMIF($D$5:$D$94,A77,$Y$5:$Y$94)</f>
        <v>-0</v>
      </c>
      <c r="F77" s="13" t="n">
        <f aca="false">-SUMIF($W$5:$W$94,A77,$V$5:$V$94)-SUMIF($AB$5:$AB$94,A77,$AA$5:$AA$94)</f>
        <v>-0</v>
      </c>
      <c r="G77" s="30" t="n">
        <f aca="false">C77/Premissas!$B$18*Premissas!$B$19*Premissas!$B$23</f>
        <v>0</v>
      </c>
      <c r="H77" s="30" t="n">
        <f aca="false">C77/Premissas!$B$18*Premissas!$B$19*Premissas!$B$24</f>
        <v>0</v>
      </c>
      <c r="I77" s="13" t="n">
        <f aca="false">-IF($A77-(Premissas!$B$60)&gt;=1,INDEX($G$5:$G$94,$A77-(Premissas!$B$60)),0)*(Premissas!$B$59*Unitário!$B$22+(Premissas!$B$61*Unitário!$B$24+Premissas!$B$63*Unitário!$B$25))</f>
        <v>-0</v>
      </c>
      <c r="J77" s="13" t="n">
        <f aca="false">IF($A77-(Premissas!$B$54)&gt;=1,INDEX($G$5:$G$94,$A77-(Premissas!$B$54)),0)*Premissas!$B$26*((Premissas!$B$59*Unitário!$B$22+(Premissas!$B$61*Unitário!$B$24+Premissas!$B$63*Unitário!$B$25))-Premissas!$B$39)</f>
        <v>0</v>
      </c>
      <c r="K77" s="13" t="n">
        <f aca="false">IF($A77-(Premissas!$B$54+Premissas!$B$57)&gt;=1,INDEX($G$5:$G$94,$A77-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77" s="13" t="n">
        <f aca="false">IF($A77-(Premissas!$B$54+Premissas!$B$55)&gt;=1,INDEX($G$5:$G$94,$A77-(Premissas!$B$54+Premissas!$B$55)),0)*Unitário!$B$21*(Premissas!$B$51-(1-Premissas!$B$61)*Unitário!$B$24-(1-Premissas!$B$63)*Unitário!$B$25-(1-Premissas!$B$59)*Unitário!$B$22)</f>
        <v>0</v>
      </c>
      <c r="M77" s="13" t="n">
        <f aca="false">IF($A77-(Premissas!$B$56)&gt;=1,INDEX($H$5:$H$94,$A77-(Premissas!$B$56)),0)*(Premissas!$B$52-Unitário!$B$27)</f>
        <v>0</v>
      </c>
      <c r="N77" s="13" t="n">
        <f aca="false">-IF($A77-(Premissas!$B$60)&gt;=1,INDEX($H$5:$H$94,$A77-(Premissas!$B$60)),0)*(Premissas!$B$59*Unitário!$B$22+Premissas!$B$31)</f>
        <v>-0</v>
      </c>
      <c r="O77" s="13" t="n">
        <f aca="false">IF($A77-(Premissas!$B$54+Premissas!$B$57)&gt;=1,INDEX($H$5:$H$94,$A77-(Premissas!$B$54+Premissas!$B$57)),0)*Premissas!$B$27*(-Premissas!$B$52-Premissas!$B$41+Unitário!$B$27+(1-Premissas!$B$62)*Premissas!$B$31+Premissas!$B$59*Unitário!$B$22)</f>
        <v>-0</v>
      </c>
      <c r="P77" s="13" t="n">
        <f aca="false">-Premissas!$B$42*(IF($A77-(Premissas!$B$54+Premissas!$B$55)&gt;=1,INDEX($G$5:$G$94,$A77-(Premissas!$B$54+Premissas!$B$55)),0)*Unitário!$B$21*Premissas!$B$51+IF($A77-(Premissas!$B$56)&gt;=1,INDEX($H$5:$H$94,$A77-(Premissas!$B$56)),0)*(1-Premissas!$B$27)*Premissas!$B$52)</f>
        <v>-0</v>
      </c>
      <c r="Q77" s="13" t="n">
        <f aca="false">-IF(AND(DAY(B77+Premissas!$B$15)=Premissas!$B$16,B77+Premissas!$B$15&gt;=DATE(YEAR(Premissas!$B$11),MONTH(Premissas!$B$11)+1,Premissas!$B$16)),Premissas!$B$43,0)-IF(OR(E77&lt;0,F77&lt;0,IF(AND(DAY(B77+Premissas!$B$15)=Premissas!$B$16,B77+Premissas!$B$15&gt;=DATE(YEAR(Premissas!$B$11),MONTH(Premissas!$B$11)+1,Premissas!$B$16)),Premissas!$B$43,0)&gt;0),Premissas!$B$67*Premissas!$B$68,0)</f>
        <v>-0</v>
      </c>
      <c r="R77" s="13" t="n">
        <f aca="false">E77+F77+SUM(I77:Q77)</f>
        <v>0</v>
      </c>
      <c r="S77" s="13" t="n">
        <f aca="false">S76+R77</f>
        <v>1374.73938121533</v>
      </c>
      <c r="T77" s="16" t="n">
        <f aca="false">IF(AND($A77&gt;$B$100,S77&gt;=0),1,0)</f>
        <v>1</v>
      </c>
      <c r="U77" s="13" t="n">
        <f aca="false">S77-SUM($E$5:E77)-(1+Premissas!$B$17)*SUM($C$5:C77)</f>
        <v>1374.73938121533</v>
      </c>
      <c r="V77" s="13" t="n">
        <f aca="false">(G77+H77)*Premissas!$B$21</f>
        <v>0</v>
      </c>
      <c r="W77" s="16" t="n">
        <f aca="false">IF(V77&gt;0,DATE(YEAR(B77),MONTH(B77)+1,Premissas!$B$16)-Premissas!$B$11+1-Premissas!$B$15,0)</f>
        <v>0</v>
      </c>
      <c r="X77" s="13" t="n">
        <f aca="false">X76-Y76+C77*(1+Premissas!$B$17)</f>
        <v>0</v>
      </c>
      <c r="Y77" s="13" t="n">
        <f aca="false">IF(OR(X77&gt;=Premissas!$B$13,B77=DATE(YEAR(B77),MONTH(B77)+1,0)),X77,0)</f>
        <v>0</v>
      </c>
      <c r="Z77" s="13" t="n">
        <f aca="false">Z76-AA76+C77/Premissas!$B$18*Premissas!$B$20</f>
        <v>0</v>
      </c>
      <c r="AA77" s="13" t="n">
        <f aca="false">IF(OR(Z77&gt;=Premissas!$B$14,B77=DATE(YEAR(B77),MONTH(B77)+1,0)),Z77,0)</f>
        <v>0</v>
      </c>
      <c r="AB77" s="16" t="n">
        <f aca="false">IF(AA77&gt;0,IF(DAY(B77)&lt;=Premissas!$B$12,DATE(YEAR(B77),MONTH(B77),Premissas!$B$16),DATE(YEAR(B77),MONTH(B77)+1,Premissas!$B$16))-Premissas!$B$11+1-Premissas!$B$15,0)</f>
        <v>0</v>
      </c>
    </row>
    <row r="78" customFormat="false" ht="15" hidden="false" customHeight="true" outlineLevel="0" collapsed="false">
      <c r="A78" s="16" t="n">
        <v>74</v>
      </c>
      <c r="B78" s="31" t="n">
        <f aca="false">Premissas!$B$11+A78-1</f>
        <v>46391</v>
      </c>
      <c r="C78" s="13" t="n">
        <f aca="false">IF(A78&lt;=Premissas!$B$7,Premissas!$B$6/Premissas!$B$7,IF(A78&lt;=Premissas!$B$7+Premissas!$B$8,0,IF(A78&lt;=Premissas!$B$7+Premissas!$B$8+Premissas!$B$10,Premissas!$B$9/Premissas!$B$10,0)))</f>
        <v>0</v>
      </c>
      <c r="D78" s="16" t="n">
        <f aca="false">IF(Y78&gt;0,IF(DAY(B78)&lt;=Premissas!$B$12,DATE(YEAR(B78),MONTH(B78),Premissas!$B$16),DATE(YEAR(B78),MONTH(B78)+1,Premissas!$B$16))-Premissas!$B$11+1-Premissas!$B$15,0)</f>
        <v>0</v>
      </c>
      <c r="E78" s="13" t="n">
        <f aca="false">-SUMIF($D$5:$D$94,A78,$Y$5:$Y$94)</f>
        <v>-0</v>
      </c>
      <c r="F78" s="13" t="n">
        <f aca="false">-SUMIF($W$5:$W$94,A78,$V$5:$V$94)-SUMIF($AB$5:$AB$94,A78,$AA$5:$AA$94)</f>
        <v>-0</v>
      </c>
      <c r="G78" s="30" t="n">
        <f aca="false">C78/Premissas!$B$18*Premissas!$B$19*Premissas!$B$23</f>
        <v>0</v>
      </c>
      <c r="H78" s="30" t="n">
        <f aca="false">C78/Premissas!$B$18*Premissas!$B$19*Premissas!$B$24</f>
        <v>0</v>
      </c>
      <c r="I78" s="13" t="n">
        <f aca="false">-IF($A78-(Premissas!$B$60)&gt;=1,INDEX($G$5:$G$94,$A78-(Premissas!$B$60)),0)*(Premissas!$B$59*Unitário!$B$22+(Premissas!$B$61*Unitário!$B$24+Premissas!$B$63*Unitário!$B$25))</f>
        <v>-0</v>
      </c>
      <c r="J78" s="13" t="n">
        <f aca="false">IF($A78-(Premissas!$B$54)&gt;=1,INDEX($G$5:$G$94,$A78-(Premissas!$B$54)),0)*Premissas!$B$26*((Premissas!$B$59*Unitário!$B$22+(Premissas!$B$61*Unitário!$B$24+Premissas!$B$63*Unitário!$B$25))-Premissas!$B$39)</f>
        <v>0</v>
      </c>
      <c r="K78" s="13" t="n">
        <f aca="false">IF($A78-(Premissas!$B$54+Premissas!$B$57)&gt;=1,INDEX($G$5:$G$94,$A78-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78" s="13" t="n">
        <f aca="false">IF($A78-(Premissas!$B$54+Premissas!$B$55)&gt;=1,INDEX($G$5:$G$94,$A78-(Premissas!$B$54+Premissas!$B$55)),0)*Unitário!$B$21*(Premissas!$B$51-(1-Premissas!$B$61)*Unitário!$B$24-(1-Premissas!$B$63)*Unitário!$B$25-(1-Premissas!$B$59)*Unitário!$B$22)</f>
        <v>0</v>
      </c>
      <c r="M78" s="13" t="n">
        <f aca="false">IF($A78-(Premissas!$B$56)&gt;=1,INDEX($H$5:$H$94,$A78-(Premissas!$B$56)),0)*(Premissas!$B$52-Unitário!$B$27)</f>
        <v>0</v>
      </c>
      <c r="N78" s="13" t="n">
        <f aca="false">-IF($A78-(Premissas!$B$60)&gt;=1,INDEX($H$5:$H$94,$A78-(Premissas!$B$60)),0)*(Premissas!$B$59*Unitário!$B$22+Premissas!$B$31)</f>
        <v>-0</v>
      </c>
      <c r="O78" s="13" t="n">
        <f aca="false">IF($A78-(Premissas!$B$54+Premissas!$B$57)&gt;=1,INDEX($H$5:$H$94,$A78-(Premissas!$B$54+Premissas!$B$57)),0)*Premissas!$B$27*(-Premissas!$B$52-Premissas!$B$41+Unitário!$B$27+(1-Premissas!$B$62)*Premissas!$B$31+Premissas!$B$59*Unitário!$B$22)</f>
        <v>-0</v>
      </c>
      <c r="P78" s="13" t="n">
        <f aca="false">-Premissas!$B$42*(IF($A78-(Premissas!$B$54+Premissas!$B$55)&gt;=1,INDEX($G$5:$G$94,$A78-(Premissas!$B$54+Premissas!$B$55)),0)*Unitário!$B$21*Premissas!$B$51+IF($A78-(Premissas!$B$56)&gt;=1,INDEX($H$5:$H$94,$A78-(Premissas!$B$56)),0)*(1-Premissas!$B$27)*Premissas!$B$52)</f>
        <v>-0</v>
      </c>
      <c r="Q78" s="13" t="n">
        <f aca="false">-IF(AND(DAY(B78+Premissas!$B$15)=Premissas!$B$16,B78+Premissas!$B$15&gt;=DATE(YEAR(Premissas!$B$11),MONTH(Premissas!$B$11)+1,Premissas!$B$16)),Premissas!$B$43,0)-IF(OR(E78&lt;0,F78&lt;0,IF(AND(DAY(B78+Premissas!$B$15)=Premissas!$B$16,B78+Premissas!$B$15&gt;=DATE(YEAR(Premissas!$B$11),MONTH(Premissas!$B$11)+1,Premissas!$B$16)),Premissas!$B$43,0)&gt;0),Premissas!$B$67*Premissas!$B$68,0)</f>
        <v>-0</v>
      </c>
      <c r="R78" s="13" t="n">
        <f aca="false">E78+F78+SUM(I78:Q78)</f>
        <v>0</v>
      </c>
      <c r="S78" s="13" t="n">
        <f aca="false">S77+R78</f>
        <v>1374.73938121533</v>
      </c>
      <c r="T78" s="16" t="n">
        <f aca="false">IF(AND($A78&gt;$B$100,S78&gt;=0),1,0)</f>
        <v>1</v>
      </c>
      <c r="U78" s="13" t="n">
        <f aca="false">S78-SUM($E$5:E78)-(1+Premissas!$B$17)*SUM($C$5:C78)</f>
        <v>1374.73938121533</v>
      </c>
      <c r="V78" s="13" t="n">
        <f aca="false">(G78+H78)*Premissas!$B$21</f>
        <v>0</v>
      </c>
      <c r="W78" s="16" t="n">
        <f aca="false">IF(V78&gt;0,DATE(YEAR(B78),MONTH(B78)+1,Premissas!$B$16)-Premissas!$B$11+1-Premissas!$B$15,0)</f>
        <v>0</v>
      </c>
      <c r="X78" s="13" t="n">
        <f aca="false">X77-Y77+C78*(1+Premissas!$B$17)</f>
        <v>0</v>
      </c>
      <c r="Y78" s="13" t="n">
        <f aca="false">IF(OR(X78&gt;=Premissas!$B$13,B78=DATE(YEAR(B78),MONTH(B78)+1,0)),X78,0)</f>
        <v>0</v>
      </c>
      <c r="Z78" s="13" t="n">
        <f aca="false">Z77-AA77+C78/Premissas!$B$18*Premissas!$B$20</f>
        <v>0</v>
      </c>
      <c r="AA78" s="13" t="n">
        <f aca="false">IF(OR(Z78&gt;=Premissas!$B$14,B78=DATE(YEAR(B78),MONTH(B78)+1,0)),Z78,0)</f>
        <v>0</v>
      </c>
      <c r="AB78" s="16" t="n">
        <f aca="false">IF(AA78&gt;0,IF(DAY(B78)&lt;=Premissas!$B$12,DATE(YEAR(B78),MONTH(B78),Premissas!$B$16),DATE(YEAR(B78),MONTH(B78)+1,Premissas!$B$16))-Premissas!$B$11+1-Premissas!$B$15,0)</f>
        <v>0</v>
      </c>
    </row>
    <row r="79" customFormat="false" ht="15" hidden="false" customHeight="true" outlineLevel="0" collapsed="false">
      <c r="A79" s="16" t="n">
        <v>75</v>
      </c>
      <c r="B79" s="31" t="n">
        <f aca="false">Premissas!$B$11+A79-1</f>
        <v>46392</v>
      </c>
      <c r="C79" s="13" t="n">
        <f aca="false">IF(A79&lt;=Premissas!$B$7,Premissas!$B$6/Premissas!$B$7,IF(A79&lt;=Premissas!$B$7+Premissas!$B$8,0,IF(A79&lt;=Premissas!$B$7+Premissas!$B$8+Premissas!$B$10,Premissas!$B$9/Premissas!$B$10,0)))</f>
        <v>0</v>
      </c>
      <c r="D79" s="16" t="n">
        <f aca="false">IF(Y79&gt;0,IF(DAY(B79)&lt;=Premissas!$B$12,DATE(YEAR(B79),MONTH(B79),Premissas!$B$16),DATE(YEAR(B79),MONTH(B79)+1,Premissas!$B$16))-Premissas!$B$11+1-Premissas!$B$15,0)</f>
        <v>0</v>
      </c>
      <c r="E79" s="13" t="n">
        <f aca="false">-SUMIF($D$5:$D$94,A79,$Y$5:$Y$94)</f>
        <v>-0</v>
      </c>
      <c r="F79" s="13" t="n">
        <f aca="false">-SUMIF($W$5:$W$94,A79,$V$5:$V$94)-SUMIF($AB$5:$AB$94,A79,$AA$5:$AA$94)</f>
        <v>-0</v>
      </c>
      <c r="G79" s="30" t="n">
        <f aca="false">C79/Premissas!$B$18*Premissas!$B$19*Premissas!$B$23</f>
        <v>0</v>
      </c>
      <c r="H79" s="30" t="n">
        <f aca="false">C79/Premissas!$B$18*Premissas!$B$19*Premissas!$B$24</f>
        <v>0</v>
      </c>
      <c r="I79" s="13" t="n">
        <f aca="false">-IF($A79-(Premissas!$B$60)&gt;=1,INDEX($G$5:$G$94,$A79-(Premissas!$B$60)),0)*(Premissas!$B$59*Unitário!$B$22+(Premissas!$B$61*Unitário!$B$24+Premissas!$B$63*Unitário!$B$25))</f>
        <v>-0</v>
      </c>
      <c r="J79" s="13" t="n">
        <f aca="false">IF($A79-(Premissas!$B$54)&gt;=1,INDEX($G$5:$G$94,$A79-(Premissas!$B$54)),0)*Premissas!$B$26*((Premissas!$B$59*Unitário!$B$22+(Premissas!$B$61*Unitário!$B$24+Premissas!$B$63*Unitário!$B$25))-Premissas!$B$39)</f>
        <v>0</v>
      </c>
      <c r="K79" s="13" t="n">
        <f aca="false">IF($A79-(Premissas!$B$54+Premissas!$B$57)&gt;=1,INDEX($G$5:$G$94,$A79-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79" s="13" t="n">
        <f aca="false">IF($A79-(Premissas!$B$54+Premissas!$B$55)&gt;=1,INDEX($G$5:$G$94,$A79-(Premissas!$B$54+Premissas!$B$55)),0)*Unitário!$B$21*(Premissas!$B$51-(1-Premissas!$B$61)*Unitário!$B$24-(1-Premissas!$B$63)*Unitário!$B$25-(1-Premissas!$B$59)*Unitário!$B$22)</f>
        <v>0</v>
      </c>
      <c r="M79" s="13" t="n">
        <f aca="false">IF($A79-(Premissas!$B$56)&gt;=1,INDEX($H$5:$H$94,$A79-(Premissas!$B$56)),0)*(Premissas!$B$52-Unitário!$B$27)</f>
        <v>0</v>
      </c>
      <c r="N79" s="13" t="n">
        <f aca="false">-IF($A79-(Premissas!$B$60)&gt;=1,INDEX($H$5:$H$94,$A79-(Premissas!$B$60)),0)*(Premissas!$B$59*Unitário!$B$22+Premissas!$B$31)</f>
        <v>-0</v>
      </c>
      <c r="O79" s="13" t="n">
        <f aca="false">IF($A79-(Premissas!$B$54+Premissas!$B$57)&gt;=1,INDEX($H$5:$H$94,$A79-(Premissas!$B$54+Premissas!$B$57)),0)*Premissas!$B$27*(-Premissas!$B$52-Premissas!$B$41+Unitário!$B$27+(1-Premissas!$B$62)*Premissas!$B$31+Premissas!$B$59*Unitário!$B$22)</f>
        <v>-0</v>
      </c>
      <c r="P79" s="13" t="n">
        <f aca="false">-Premissas!$B$42*(IF($A79-(Premissas!$B$54+Premissas!$B$55)&gt;=1,INDEX($G$5:$G$94,$A79-(Premissas!$B$54+Premissas!$B$55)),0)*Unitário!$B$21*Premissas!$B$51+IF($A79-(Premissas!$B$56)&gt;=1,INDEX($H$5:$H$94,$A79-(Premissas!$B$56)),0)*(1-Premissas!$B$27)*Premissas!$B$52)</f>
        <v>-0</v>
      </c>
      <c r="Q79" s="13" t="n">
        <f aca="false">-IF(AND(DAY(B79+Premissas!$B$15)=Premissas!$B$16,B79+Premissas!$B$15&gt;=DATE(YEAR(Premissas!$B$11),MONTH(Premissas!$B$11)+1,Premissas!$B$16)),Premissas!$B$43,0)-IF(OR(E79&lt;0,F79&lt;0,IF(AND(DAY(B79+Premissas!$B$15)=Premissas!$B$16,B79+Premissas!$B$15&gt;=DATE(YEAR(Premissas!$B$11),MONTH(Premissas!$B$11)+1,Premissas!$B$16)),Premissas!$B$43,0)&gt;0),Premissas!$B$67*Premissas!$B$68,0)</f>
        <v>-0</v>
      </c>
      <c r="R79" s="13" t="n">
        <f aca="false">E79+F79+SUM(I79:Q79)</f>
        <v>0</v>
      </c>
      <c r="S79" s="13" t="n">
        <f aca="false">S78+R79</f>
        <v>1374.73938121533</v>
      </c>
      <c r="T79" s="16" t="n">
        <f aca="false">IF(AND($A79&gt;$B$100,S79&gt;=0),1,0)</f>
        <v>1</v>
      </c>
      <c r="U79" s="13" t="n">
        <f aca="false">S79-SUM($E$5:E79)-(1+Premissas!$B$17)*SUM($C$5:C79)</f>
        <v>1374.73938121533</v>
      </c>
      <c r="V79" s="13" t="n">
        <f aca="false">(G79+H79)*Premissas!$B$21</f>
        <v>0</v>
      </c>
      <c r="W79" s="16" t="n">
        <f aca="false">IF(V79&gt;0,DATE(YEAR(B79),MONTH(B79)+1,Premissas!$B$16)-Premissas!$B$11+1-Premissas!$B$15,0)</f>
        <v>0</v>
      </c>
      <c r="X79" s="13" t="n">
        <f aca="false">X78-Y78+C79*(1+Premissas!$B$17)</f>
        <v>0</v>
      </c>
      <c r="Y79" s="13" t="n">
        <f aca="false">IF(OR(X79&gt;=Premissas!$B$13,B79=DATE(YEAR(B79),MONTH(B79)+1,0)),X79,0)</f>
        <v>0</v>
      </c>
      <c r="Z79" s="13" t="n">
        <f aca="false">Z78-AA78+C79/Premissas!$B$18*Premissas!$B$20</f>
        <v>0</v>
      </c>
      <c r="AA79" s="13" t="n">
        <f aca="false">IF(OR(Z79&gt;=Premissas!$B$14,B79=DATE(YEAR(B79),MONTH(B79)+1,0)),Z79,0)</f>
        <v>0</v>
      </c>
      <c r="AB79" s="16" t="n">
        <f aca="false">IF(AA79&gt;0,IF(DAY(B79)&lt;=Premissas!$B$12,DATE(YEAR(B79),MONTH(B79),Premissas!$B$16),DATE(YEAR(B79),MONTH(B79)+1,Premissas!$B$16))-Premissas!$B$11+1-Premissas!$B$15,0)</f>
        <v>0</v>
      </c>
    </row>
    <row r="80" customFormat="false" ht="15" hidden="false" customHeight="true" outlineLevel="0" collapsed="false">
      <c r="A80" s="16" t="n">
        <v>76</v>
      </c>
      <c r="B80" s="31" t="n">
        <f aca="false">Premissas!$B$11+A80-1</f>
        <v>46393</v>
      </c>
      <c r="C80" s="13" t="n">
        <f aca="false">IF(A80&lt;=Premissas!$B$7,Premissas!$B$6/Premissas!$B$7,IF(A80&lt;=Premissas!$B$7+Premissas!$B$8,0,IF(A80&lt;=Premissas!$B$7+Premissas!$B$8+Premissas!$B$10,Premissas!$B$9/Premissas!$B$10,0)))</f>
        <v>0</v>
      </c>
      <c r="D80" s="16" t="n">
        <f aca="false">IF(Y80&gt;0,IF(DAY(B80)&lt;=Premissas!$B$12,DATE(YEAR(B80),MONTH(B80),Premissas!$B$16),DATE(YEAR(B80),MONTH(B80)+1,Premissas!$B$16))-Premissas!$B$11+1-Premissas!$B$15,0)</f>
        <v>0</v>
      </c>
      <c r="E80" s="13" t="n">
        <f aca="false">-SUMIF($D$5:$D$94,A80,$Y$5:$Y$94)</f>
        <v>-0</v>
      </c>
      <c r="F80" s="13" t="n">
        <f aca="false">-SUMIF($W$5:$W$94,A80,$V$5:$V$94)-SUMIF($AB$5:$AB$94,A80,$AA$5:$AA$94)</f>
        <v>-0</v>
      </c>
      <c r="G80" s="30" t="n">
        <f aca="false">C80/Premissas!$B$18*Premissas!$B$19*Premissas!$B$23</f>
        <v>0</v>
      </c>
      <c r="H80" s="30" t="n">
        <f aca="false">C80/Premissas!$B$18*Premissas!$B$19*Premissas!$B$24</f>
        <v>0</v>
      </c>
      <c r="I80" s="13" t="n">
        <f aca="false">-IF($A80-(Premissas!$B$60)&gt;=1,INDEX($G$5:$G$94,$A80-(Premissas!$B$60)),0)*(Premissas!$B$59*Unitário!$B$22+(Premissas!$B$61*Unitário!$B$24+Premissas!$B$63*Unitário!$B$25))</f>
        <v>-0</v>
      </c>
      <c r="J80" s="13" t="n">
        <f aca="false">IF($A80-(Premissas!$B$54)&gt;=1,INDEX($G$5:$G$94,$A80-(Premissas!$B$54)),0)*Premissas!$B$26*((Premissas!$B$59*Unitário!$B$22+(Premissas!$B$61*Unitário!$B$24+Premissas!$B$63*Unitário!$B$25))-Premissas!$B$39)</f>
        <v>0</v>
      </c>
      <c r="K80" s="13" t="n">
        <f aca="false">IF($A80-(Premissas!$B$54+Premissas!$B$57)&gt;=1,INDEX($G$5:$G$94,$A80-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80" s="13" t="n">
        <f aca="false">IF($A80-(Premissas!$B$54+Premissas!$B$55)&gt;=1,INDEX($G$5:$G$94,$A80-(Premissas!$B$54+Premissas!$B$55)),0)*Unitário!$B$21*(Premissas!$B$51-(1-Premissas!$B$61)*Unitário!$B$24-(1-Premissas!$B$63)*Unitário!$B$25-(1-Premissas!$B$59)*Unitário!$B$22)</f>
        <v>0</v>
      </c>
      <c r="M80" s="13" t="n">
        <f aca="false">IF($A80-(Premissas!$B$56)&gt;=1,INDEX($H$5:$H$94,$A80-(Premissas!$B$56)),0)*(Premissas!$B$52-Unitário!$B$27)</f>
        <v>0</v>
      </c>
      <c r="N80" s="13" t="n">
        <f aca="false">-IF($A80-(Premissas!$B$60)&gt;=1,INDEX($H$5:$H$94,$A80-(Premissas!$B$60)),0)*(Premissas!$B$59*Unitário!$B$22+Premissas!$B$31)</f>
        <v>-0</v>
      </c>
      <c r="O80" s="13" t="n">
        <f aca="false">IF($A80-(Premissas!$B$54+Premissas!$B$57)&gt;=1,INDEX($H$5:$H$94,$A80-(Premissas!$B$54+Premissas!$B$57)),0)*Premissas!$B$27*(-Premissas!$B$52-Premissas!$B$41+Unitário!$B$27+(1-Premissas!$B$62)*Premissas!$B$31+Premissas!$B$59*Unitário!$B$22)</f>
        <v>-0</v>
      </c>
      <c r="P80" s="13" t="n">
        <f aca="false">-Premissas!$B$42*(IF($A80-(Premissas!$B$54+Premissas!$B$55)&gt;=1,INDEX($G$5:$G$94,$A80-(Premissas!$B$54+Premissas!$B$55)),0)*Unitário!$B$21*Premissas!$B$51+IF($A80-(Premissas!$B$56)&gt;=1,INDEX($H$5:$H$94,$A80-(Premissas!$B$56)),0)*(1-Premissas!$B$27)*Premissas!$B$52)</f>
        <v>-0</v>
      </c>
      <c r="Q80" s="13" t="n">
        <f aca="false">-IF(AND(DAY(B80+Premissas!$B$15)=Premissas!$B$16,B80+Premissas!$B$15&gt;=DATE(YEAR(Premissas!$B$11),MONTH(Premissas!$B$11)+1,Premissas!$B$16)),Premissas!$B$43,0)-IF(OR(E80&lt;0,F80&lt;0,IF(AND(DAY(B80+Premissas!$B$15)=Premissas!$B$16,B80+Premissas!$B$15&gt;=DATE(YEAR(Premissas!$B$11),MONTH(Premissas!$B$11)+1,Premissas!$B$16)),Premissas!$B$43,0)&gt;0),Premissas!$B$67*Premissas!$B$68,0)</f>
        <v>-0</v>
      </c>
      <c r="R80" s="13" t="n">
        <f aca="false">E80+F80+SUM(I80:Q80)</f>
        <v>0</v>
      </c>
      <c r="S80" s="13" t="n">
        <f aca="false">S79+R80</f>
        <v>1374.73938121533</v>
      </c>
      <c r="T80" s="16" t="n">
        <f aca="false">IF(AND($A80&gt;$B$100,S80&gt;=0),1,0)</f>
        <v>1</v>
      </c>
      <c r="U80" s="13" t="n">
        <f aca="false">S80-SUM($E$5:E80)-(1+Premissas!$B$17)*SUM($C$5:C80)</f>
        <v>1374.73938121533</v>
      </c>
      <c r="V80" s="13" t="n">
        <f aca="false">(G80+H80)*Premissas!$B$21</f>
        <v>0</v>
      </c>
      <c r="W80" s="16" t="n">
        <f aca="false">IF(V80&gt;0,DATE(YEAR(B80),MONTH(B80)+1,Premissas!$B$16)-Premissas!$B$11+1-Premissas!$B$15,0)</f>
        <v>0</v>
      </c>
      <c r="X80" s="13" t="n">
        <f aca="false">X79-Y79+C80*(1+Premissas!$B$17)</f>
        <v>0</v>
      </c>
      <c r="Y80" s="13" t="n">
        <f aca="false">IF(OR(X80&gt;=Premissas!$B$13,B80=DATE(YEAR(B80),MONTH(B80)+1,0)),X80,0)</f>
        <v>0</v>
      </c>
      <c r="Z80" s="13" t="n">
        <f aca="false">Z79-AA79+C80/Premissas!$B$18*Premissas!$B$20</f>
        <v>0</v>
      </c>
      <c r="AA80" s="13" t="n">
        <f aca="false">IF(OR(Z80&gt;=Premissas!$B$14,B80=DATE(YEAR(B80),MONTH(B80)+1,0)),Z80,0)</f>
        <v>0</v>
      </c>
      <c r="AB80" s="16" t="n">
        <f aca="false">IF(AA80&gt;0,IF(DAY(B80)&lt;=Premissas!$B$12,DATE(YEAR(B80),MONTH(B80),Premissas!$B$16),DATE(YEAR(B80),MONTH(B80)+1,Premissas!$B$16))-Premissas!$B$11+1-Premissas!$B$15,0)</f>
        <v>0</v>
      </c>
    </row>
    <row r="81" customFormat="false" ht="15" hidden="false" customHeight="true" outlineLevel="0" collapsed="false">
      <c r="A81" s="16" t="n">
        <v>77</v>
      </c>
      <c r="B81" s="31" t="n">
        <f aca="false">Premissas!$B$11+A81-1</f>
        <v>46394</v>
      </c>
      <c r="C81" s="13" t="n">
        <f aca="false">IF(A81&lt;=Premissas!$B$7,Premissas!$B$6/Premissas!$B$7,IF(A81&lt;=Premissas!$B$7+Premissas!$B$8,0,IF(A81&lt;=Premissas!$B$7+Premissas!$B$8+Premissas!$B$10,Premissas!$B$9/Premissas!$B$10,0)))</f>
        <v>0</v>
      </c>
      <c r="D81" s="16" t="n">
        <f aca="false">IF(Y81&gt;0,IF(DAY(B81)&lt;=Premissas!$B$12,DATE(YEAR(B81),MONTH(B81),Premissas!$B$16),DATE(YEAR(B81),MONTH(B81)+1,Premissas!$B$16))-Premissas!$B$11+1-Premissas!$B$15,0)</f>
        <v>0</v>
      </c>
      <c r="E81" s="13" t="n">
        <f aca="false">-SUMIF($D$5:$D$94,A81,$Y$5:$Y$94)</f>
        <v>-0</v>
      </c>
      <c r="F81" s="13" t="n">
        <f aca="false">-SUMIF($W$5:$W$94,A81,$V$5:$V$94)-SUMIF($AB$5:$AB$94,A81,$AA$5:$AA$94)</f>
        <v>-0</v>
      </c>
      <c r="G81" s="30" t="n">
        <f aca="false">C81/Premissas!$B$18*Premissas!$B$19*Premissas!$B$23</f>
        <v>0</v>
      </c>
      <c r="H81" s="30" t="n">
        <f aca="false">C81/Premissas!$B$18*Premissas!$B$19*Premissas!$B$24</f>
        <v>0</v>
      </c>
      <c r="I81" s="13" t="n">
        <f aca="false">-IF($A81-(Premissas!$B$60)&gt;=1,INDEX($G$5:$G$94,$A81-(Premissas!$B$60)),0)*(Premissas!$B$59*Unitário!$B$22+(Premissas!$B$61*Unitário!$B$24+Premissas!$B$63*Unitário!$B$25))</f>
        <v>-0</v>
      </c>
      <c r="J81" s="13" t="n">
        <f aca="false">IF($A81-(Premissas!$B$54)&gt;=1,INDEX($G$5:$G$94,$A81-(Premissas!$B$54)),0)*Premissas!$B$26*((Premissas!$B$59*Unitário!$B$22+(Premissas!$B$61*Unitário!$B$24+Premissas!$B$63*Unitário!$B$25))-Premissas!$B$39)</f>
        <v>0</v>
      </c>
      <c r="K81" s="13" t="n">
        <f aca="false">IF($A81-(Premissas!$B$54+Premissas!$B$57)&gt;=1,INDEX($G$5:$G$94,$A81-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81" s="13" t="n">
        <f aca="false">IF($A81-(Premissas!$B$54+Premissas!$B$55)&gt;=1,INDEX($G$5:$G$94,$A81-(Premissas!$B$54+Premissas!$B$55)),0)*Unitário!$B$21*(Premissas!$B$51-(1-Premissas!$B$61)*Unitário!$B$24-(1-Premissas!$B$63)*Unitário!$B$25-(1-Premissas!$B$59)*Unitário!$B$22)</f>
        <v>0</v>
      </c>
      <c r="M81" s="13" t="n">
        <f aca="false">IF($A81-(Premissas!$B$56)&gt;=1,INDEX($H$5:$H$94,$A81-(Premissas!$B$56)),0)*(Premissas!$B$52-Unitário!$B$27)</f>
        <v>0</v>
      </c>
      <c r="N81" s="13" t="n">
        <f aca="false">-IF($A81-(Premissas!$B$60)&gt;=1,INDEX($H$5:$H$94,$A81-(Premissas!$B$60)),0)*(Premissas!$B$59*Unitário!$B$22+Premissas!$B$31)</f>
        <v>-0</v>
      </c>
      <c r="O81" s="13" t="n">
        <f aca="false">IF($A81-(Premissas!$B$54+Premissas!$B$57)&gt;=1,INDEX($H$5:$H$94,$A81-(Premissas!$B$54+Premissas!$B$57)),0)*Premissas!$B$27*(-Premissas!$B$52-Premissas!$B$41+Unitário!$B$27+(1-Premissas!$B$62)*Premissas!$B$31+Premissas!$B$59*Unitário!$B$22)</f>
        <v>-0</v>
      </c>
      <c r="P81" s="13" t="n">
        <f aca="false">-Premissas!$B$42*(IF($A81-(Premissas!$B$54+Premissas!$B$55)&gt;=1,INDEX($G$5:$G$94,$A81-(Premissas!$B$54+Premissas!$B$55)),0)*Unitário!$B$21*Premissas!$B$51+IF($A81-(Premissas!$B$56)&gt;=1,INDEX($H$5:$H$94,$A81-(Premissas!$B$56)),0)*(1-Premissas!$B$27)*Premissas!$B$52)</f>
        <v>-0</v>
      </c>
      <c r="Q81" s="13" t="n">
        <f aca="false">-IF(AND(DAY(B81+Premissas!$B$15)=Premissas!$B$16,B81+Premissas!$B$15&gt;=DATE(YEAR(Premissas!$B$11),MONTH(Premissas!$B$11)+1,Premissas!$B$16)),Premissas!$B$43,0)-IF(OR(E81&lt;0,F81&lt;0,IF(AND(DAY(B81+Premissas!$B$15)=Premissas!$B$16,B81+Premissas!$B$15&gt;=DATE(YEAR(Premissas!$B$11),MONTH(Premissas!$B$11)+1,Premissas!$B$16)),Premissas!$B$43,0)&gt;0),Premissas!$B$67*Premissas!$B$68,0)</f>
        <v>-0</v>
      </c>
      <c r="R81" s="13" t="n">
        <f aca="false">E81+F81+SUM(I81:Q81)</f>
        <v>0</v>
      </c>
      <c r="S81" s="13" t="n">
        <f aca="false">S80+R81</f>
        <v>1374.73938121533</v>
      </c>
      <c r="T81" s="16" t="n">
        <f aca="false">IF(AND($A81&gt;$B$100,S81&gt;=0),1,0)</f>
        <v>1</v>
      </c>
      <c r="U81" s="13" t="n">
        <f aca="false">S81-SUM($E$5:E81)-(1+Premissas!$B$17)*SUM($C$5:C81)</f>
        <v>1374.73938121533</v>
      </c>
      <c r="V81" s="13" t="n">
        <f aca="false">(G81+H81)*Premissas!$B$21</f>
        <v>0</v>
      </c>
      <c r="W81" s="16" t="n">
        <f aca="false">IF(V81&gt;0,DATE(YEAR(B81),MONTH(B81)+1,Premissas!$B$16)-Premissas!$B$11+1-Premissas!$B$15,0)</f>
        <v>0</v>
      </c>
      <c r="X81" s="13" t="n">
        <f aca="false">X80-Y80+C81*(1+Premissas!$B$17)</f>
        <v>0</v>
      </c>
      <c r="Y81" s="13" t="n">
        <f aca="false">IF(OR(X81&gt;=Premissas!$B$13,B81=DATE(YEAR(B81),MONTH(B81)+1,0)),X81,0)</f>
        <v>0</v>
      </c>
      <c r="Z81" s="13" t="n">
        <f aca="false">Z80-AA80+C81/Premissas!$B$18*Premissas!$B$20</f>
        <v>0</v>
      </c>
      <c r="AA81" s="13" t="n">
        <f aca="false">IF(OR(Z81&gt;=Premissas!$B$14,B81=DATE(YEAR(B81),MONTH(B81)+1,0)),Z81,0)</f>
        <v>0</v>
      </c>
      <c r="AB81" s="16" t="n">
        <f aca="false">IF(AA81&gt;0,IF(DAY(B81)&lt;=Premissas!$B$12,DATE(YEAR(B81),MONTH(B81),Premissas!$B$16),DATE(YEAR(B81),MONTH(B81)+1,Premissas!$B$16))-Premissas!$B$11+1-Premissas!$B$15,0)</f>
        <v>0</v>
      </c>
    </row>
    <row r="82" customFormat="false" ht="15" hidden="false" customHeight="true" outlineLevel="0" collapsed="false">
      <c r="A82" s="16" t="n">
        <v>78</v>
      </c>
      <c r="B82" s="31" t="n">
        <f aca="false">Premissas!$B$11+A82-1</f>
        <v>46395</v>
      </c>
      <c r="C82" s="13" t="n">
        <f aca="false">IF(A82&lt;=Premissas!$B$7,Premissas!$B$6/Premissas!$B$7,IF(A82&lt;=Premissas!$B$7+Premissas!$B$8,0,IF(A82&lt;=Premissas!$B$7+Premissas!$B$8+Premissas!$B$10,Premissas!$B$9/Premissas!$B$10,0)))</f>
        <v>0</v>
      </c>
      <c r="D82" s="16" t="n">
        <f aca="false">IF(Y82&gt;0,IF(DAY(B82)&lt;=Premissas!$B$12,DATE(YEAR(B82),MONTH(B82),Premissas!$B$16),DATE(YEAR(B82),MONTH(B82)+1,Premissas!$B$16))-Premissas!$B$11+1-Premissas!$B$15,0)</f>
        <v>0</v>
      </c>
      <c r="E82" s="13" t="n">
        <f aca="false">-SUMIF($D$5:$D$94,A82,$Y$5:$Y$94)</f>
        <v>-0</v>
      </c>
      <c r="F82" s="13" t="n">
        <f aca="false">-SUMIF($W$5:$W$94,A82,$V$5:$V$94)-SUMIF($AB$5:$AB$94,A82,$AA$5:$AA$94)</f>
        <v>-0</v>
      </c>
      <c r="G82" s="30" t="n">
        <f aca="false">C82/Premissas!$B$18*Premissas!$B$19*Premissas!$B$23</f>
        <v>0</v>
      </c>
      <c r="H82" s="30" t="n">
        <f aca="false">C82/Premissas!$B$18*Premissas!$B$19*Premissas!$B$24</f>
        <v>0</v>
      </c>
      <c r="I82" s="13" t="n">
        <f aca="false">-IF($A82-(Premissas!$B$60)&gt;=1,INDEX($G$5:$G$94,$A82-(Premissas!$B$60)),0)*(Premissas!$B$59*Unitário!$B$22+(Premissas!$B$61*Unitário!$B$24+Premissas!$B$63*Unitário!$B$25))</f>
        <v>-0</v>
      </c>
      <c r="J82" s="13" t="n">
        <f aca="false">IF($A82-(Premissas!$B$54)&gt;=1,INDEX($G$5:$G$94,$A82-(Premissas!$B$54)),0)*Premissas!$B$26*((Premissas!$B$59*Unitário!$B$22+(Premissas!$B$61*Unitário!$B$24+Premissas!$B$63*Unitário!$B$25))-Premissas!$B$39)</f>
        <v>0</v>
      </c>
      <c r="K82" s="13" t="n">
        <f aca="false">IF($A82-(Premissas!$B$54+Premissas!$B$57)&gt;=1,INDEX($G$5:$G$94,$A82-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82" s="13" t="n">
        <f aca="false">IF($A82-(Premissas!$B$54+Premissas!$B$55)&gt;=1,INDEX($G$5:$G$94,$A82-(Premissas!$B$54+Premissas!$B$55)),0)*Unitário!$B$21*(Premissas!$B$51-(1-Premissas!$B$61)*Unitário!$B$24-(1-Premissas!$B$63)*Unitário!$B$25-(1-Premissas!$B$59)*Unitário!$B$22)</f>
        <v>0</v>
      </c>
      <c r="M82" s="13" t="n">
        <f aca="false">IF($A82-(Premissas!$B$56)&gt;=1,INDEX($H$5:$H$94,$A82-(Premissas!$B$56)),0)*(Premissas!$B$52-Unitário!$B$27)</f>
        <v>0</v>
      </c>
      <c r="N82" s="13" t="n">
        <f aca="false">-IF($A82-(Premissas!$B$60)&gt;=1,INDEX($H$5:$H$94,$A82-(Premissas!$B$60)),0)*(Premissas!$B$59*Unitário!$B$22+Premissas!$B$31)</f>
        <v>-0</v>
      </c>
      <c r="O82" s="13" t="n">
        <f aca="false">IF($A82-(Premissas!$B$54+Premissas!$B$57)&gt;=1,INDEX($H$5:$H$94,$A82-(Premissas!$B$54+Premissas!$B$57)),0)*Premissas!$B$27*(-Premissas!$B$52-Premissas!$B$41+Unitário!$B$27+(1-Premissas!$B$62)*Premissas!$B$31+Premissas!$B$59*Unitário!$B$22)</f>
        <v>-0</v>
      </c>
      <c r="P82" s="13" t="n">
        <f aca="false">-Premissas!$B$42*(IF($A82-(Premissas!$B$54+Premissas!$B$55)&gt;=1,INDEX($G$5:$G$94,$A82-(Premissas!$B$54+Premissas!$B$55)),0)*Unitário!$B$21*Premissas!$B$51+IF($A82-(Premissas!$B$56)&gt;=1,INDEX($H$5:$H$94,$A82-(Premissas!$B$56)),0)*(1-Premissas!$B$27)*Premissas!$B$52)</f>
        <v>-0</v>
      </c>
      <c r="Q82" s="13" t="n">
        <f aca="false">-IF(AND(DAY(B82+Premissas!$B$15)=Premissas!$B$16,B82+Premissas!$B$15&gt;=DATE(YEAR(Premissas!$B$11),MONTH(Premissas!$B$11)+1,Premissas!$B$16)),Premissas!$B$43,0)-IF(OR(E82&lt;0,F82&lt;0,IF(AND(DAY(B82+Premissas!$B$15)=Premissas!$B$16,B82+Premissas!$B$15&gt;=DATE(YEAR(Premissas!$B$11),MONTH(Premissas!$B$11)+1,Premissas!$B$16)),Premissas!$B$43,0)&gt;0),Premissas!$B$67*Premissas!$B$68,0)</f>
        <v>-0</v>
      </c>
      <c r="R82" s="13" t="n">
        <f aca="false">E82+F82+SUM(I82:Q82)</f>
        <v>0</v>
      </c>
      <c r="S82" s="13" t="n">
        <f aca="false">S81+R82</f>
        <v>1374.73938121533</v>
      </c>
      <c r="T82" s="16" t="n">
        <f aca="false">IF(AND($A82&gt;$B$100,S82&gt;=0),1,0)</f>
        <v>1</v>
      </c>
      <c r="U82" s="13" t="n">
        <f aca="false">S82-SUM($E$5:E82)-(1+Premissas!$B$17)*SUM($C$5:C82)</f>
        <v>1374.73938121533</v>
      </c>
      <c r="V82" s="13" t="n">
        <f aca="false">(G82+H82)*Premissas!$B$21</f>
        <v>0</v>
      </c>
      <c r="W82" s="16" t="n">
        <f aca="false">IF(V82&gt;0,DATE(YEAR(B82),MONTH(B82)+1,Premissas!$B$16)-Premissas!$B$11+1-Premissas!$B$15,0)</f>
        <v>0</v>
      </c>
      <c r="X82" s="13" t="n">
        <f aca="false">X81-Y81+C82*(1+Premissas!$B$17)</f>
        <v>0</v>
      </c>
      <c r="Y82" s="13" t="n">
        <f aca="false">IF(OR(X82&gt;=Premissas!$B$13,B82=DATE(YEAR(B82),MONTH(B82)+1,0)),X82,0)</f>
        <v>0</v>
      </c>
      <c r="Z82" s="13" t="n">
        <f aca="false">Z81-AA81+C82/Premissas!$B$18*Premissas!$B$20</f>
        <v>0</v>
      </c>
      <c r="AA82" s="13" t="n">
        <f aca="false">IF(OR(Z82&gt;=Premissas!$B$14,B82=DATE(YEAR(B82),MONTH(B82)+1,0)),Z82,0)</f>
        <v>0</v>
      </c>
      <c r="AB82" s="16" t="n">
        <f aca="false">IF(AA82&gt;0,IF(DAY(B82)&lt;=Premissas!$B$12,DATE(YEAR(B82),MONTH(B82),Premissas!$B$16),DATE(YEAR(B82),MONTH(B82)+1,Premissas!$B$16))-Premissas!$B$11+1-Premissas!$B$15,0)</f>
        <v>0</v>
      </c>
    </row>
    <row r="83" customFormat="false" ht="15" hidden="false" customHeight="true" outlineLevel="0" collapsed="false">
      <c r="A83" s="16" t="n">
        <v>79</v>
      </c>
      <c r="B83" s="31" t="n">
        <f aca="false">Premissas!$B$11+A83-1</f>
        <v>46396</v>
      </c>
      <c r="C83" s="13" t="n">
        <f aca="false">IF(A83&lt;=Premissas!$B$7,Premissas!$B$6/Premissas!$B$7,IF(A83&lt;=Premissas!$B$7+Premissas!$B$8,0,IF(A83&lt;=Premissas!$B$7+Premissas!$B$8+Premissas!$B$10,Premissas!$B$9/Premissas!$B$10,0)))</f>
        <v>0</v>
      </c>
      <c r="D83" s="16" t="n">
        <f aca="false">IF(Y83&gt;0,IF(DAY(B83)&lt;=Premissas!$B$12,DATE(YEAR(B83),MONTH(B83),Premissas!$B$16),DATE(YEAR(B83),MONTH(B83)+1,Premissas!$B$16))-Premissas!$B$11+1-Premissas!$B$15,0)</f>
        <v>0</v>
      </c>
      <c r="E83" s="13" t="n">
        <f aca="false">-SUMIF($D$5:$D$94,A83,$Y$5:$Y$94)</f>
        <v>-0</v>
      </c>
      <c r="F83" s="13" t="n">
        <f aca="false">-SUMIF($W$5:$W$94,A83,$V$5:$V$94)-SUMIF($AB$5:$AB$94,A83,$AA$5:$AA$94)</f>
        <v>-0</v>
      </c>
      <c r="G83" s="30" t="n">
        <f aca="false">C83/Premissas!$B$18*Premissas!$B$19*Premissas!$B$23</f>
        <v>0</v>
      </c>
      <c r="H83" s="30" t="n">
        <f aca="false">C83/Premissas!$B$18*Premissas!$B$19*Premissas!$B$24</f>
        <v>0</v>
      </c>
      <c r="I83" s="13" t="n">
        <f aca="false">-IF($A83-(Premissas!$B$60)&gt;=1,INDEX($G$5:$G$94,$A83-(Premissas!$B$60)),0)*(Premissas!$B$59*Unitário!$B$22+(Premissas!$B$61*Unitário!$B$24+Premissas!$B$63*Unitário!$B$25))</f>
        <v>-0</v>
      </c>
      <c r="J83" s="13" t="n">
        <f aca="false">IF($A83-(Premissas!$B$54)&gt;=1,INDEX($G$5:$G$94,$A83-(Premissas!$B$54)),0)*Premissas!$B$26*((Premissas!$B$59*Unitário!$B$22+(Premissas!$B$61*Unitário!$B$24+Premissas!$B$63*Unitário!$B$25))-Premissas!$B$39)</f>
        <v>0</v>
      </c>
      <c r="K83" s="13" t="n">
        <f aca="false">IF($A83-(Premissas!$B$54+Premissas!$B$57)&gt;=1,INDEX($G$5:$G$94,$A83-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83" s="13" t="n">
        <f aca="false">IF($A83-(Premissas!$B$54+Premissas!$B$55)&gt;=1,INDEX($G$5:$G$94,$A83-(Premissas!$B$54+Premissas!$B$55)),0)*Unitário!$B$21*(Premissas!$B$51-(1-Premissas!$B$61)*Unitário!$B$24-(1-Premissas!$B$63)*Unitário!$B$25-(1-Premissas!$B$59)*Unitário!$B$22)</f>
        <v>0</v>
      </c>
      <c r="M83" s="13" t="n">
        <f aca="false">IF($A83-(Premissas!$B$56)&gt;=1,INDEX($H$5:$H$94,$A83-(Premissas!$B$56)),0)*(Premissas!$B$52-Unitário!$B$27)</f>
        <v>0</v>
      </c>
      <c r="N83" s="13" t="n">
        <f aca="false">-IF($A83-(Premissas!$B$60)&gt;=1,INDEX($H$5:$H$94,$A83-(Premissas!$B$60)),0)*(Premissas!$B$59*Unitário!$B$22+Premissas!$B$31)</f>
        <v>-0</v>
      </c>
      <c r="O83" s="13" t="n">
        <f aca="false">IF($A83-(Premissas!$B$54+Premissas!$B$57)&gt;=1,INDEX($H$5:$H$94,$A83-(Premissas!$B$54+Premissas!$B$57)),0)*Premissas!$B$27*(-Premissas!$B$52-Premissas!$B$41+Unitário!$B$27+(1-Premissas!$B$62)*Premissas!$B$31+Premissas!$B$59*Unitário!$B$22)</f>
        <v>-0</v>
      </c>
      <c r="P83" s="13" t="n">
        <f aca="false">-Premissas!$B$42*(IF($A83-(Premissas!$B$54+Premissas!$B$55)&gt;=1,INDEX($G$5:$G$94,$A83-(Premissas!$B$54+Premissas!$B$55)),0)*Unitário!$B$21*Premissas!$B$51+IF($A83-(Premissas!$B$56)&gt;=1,INDEX($H$5:$H$94,$A83-(Premissas!$B$56)),0)*(1-Premissas!$B$27)*Premissas!$B$52)</f>
        <v>-0</v>
      </c>
      <c r="Q83" s="13" t="n">
        <f aca="false">-IF(AND(DAY(B83+Premissas!$B$15)=Premissas!$B$16,B83+Premissas!$B$15&gt;=DATE(YEAR(Premissas!$B$11),MONTH(Premissas!$B$11)+1,Premissas!$B$16)),Premissas!$B$43,0)-IF(OR(E83&lt;0,F83&lt;0,IF(AND(DAY(B83+Premissas!$B$15)=Premissas!$B$16,B83+Premissas!$B$15&gt;=DATE(YEAR(Premissas!$B$11),MONTH(Premissas!$B$11)+1,Premissas!$B$16)),Premissas!$B$43,0)&gt;0),Premissas!$B$67*Premissas!$B$68,0)</f>
        <v>-0</v>
      </c>
      <c r="R83" s="13" t="n">
        <f aca="false">E83+F83+SUM(I83:Q83)</f>
        <v>0</v>
      </c>
      <c r="S83" s="13" t="n">
        <f aca="false">S82+R83</f>
        <v>1374.73938121533</v>
      </c>
      <c r="T83" s="16" t="n">
        <f aca="false">IF(AND($A83&gt;$B$100,S83&gt;=0),1,0)</f>
        <v>1</v>
      </c>
      <c r="U83" s="13" t="n">
        <f aca="false">S83-SUM($E$5:E83)-(1+Premissas!$B$17)*SUM($C$5:C83)</f>
        <v>1374.73938121533</v>
      </c>
      <c r="V83" s="13" t="n">
        <f aca="false">(G83+H83)*Premissas!$B$21</f>
        <v>0</v>
      </c>
      <c r="W83" s="16" t="n">
        <f aca="false">IF(V83&gt;0,DATE(YEAR(B83),MONTH(B83)+1,Premissas!$B$16)-Premissas!$B$11+1-Premissas!$B$15,0)</f>
        <v>0</v>
      </c>
      <c r="X83" s="13" t="n">
        <f aca="false">X82-Y82+C83*(1+Premissas!$B$17)</f>
        <v>0</v>
      </c>
      <c r="Y83" s="13" t="n">
        <f aca="false">IF(OR(X83&gt;=Premissas!$B$13,B83=DATE(YEAR(B83),MONTH(B83)+1,0)),X83,0)</f>
        <v>0</v>
      </c>
      <c r="Z83" s="13" t="n">
        <f aca="false">Z82-AA82+C83/Premissas!$B$18*Premissas!$B$20</f>
        <v>0</v>
      </c>
      <c r="AA83" s="13" t="n">
        <f aca="false">IF(OR(Z83&gt;=Premissas!$B$14,B83=DATE(YEAR(B83),MONTH(B83)+1,0)),Z83,0)</f>
        <v>0</v>
      </c>
      <c r="AB83" s="16" t="n">
        <f aca="false">IF(AA83&gt;0,IF(DAY(B83)&lt;=Premissas!$B$12,DATE(YEAR(B83),MONTH(B83),Premissas!$B$16),DATE(YEAR(B83),MONTH(B83)+1,Premissas!$B$16))-Premissas!$B$11+1-Premissas!$B$15,0)</f>
        <v>0</v>
      </c>
    </row>
    <row r="84" customFormat="false" ht="15" hidden="false" customHeight="true" outlineLevel="0" collapsed="false">
      <c r="A84" s="16" t="n">
        <v>80</v>
      </c>
      <c r="B84" s="31" t="n">
        <f aca="false">Premissas!$B$11+A84-1</f>
        <v>46397</v>
      </c>
      <c r="C84" s="13" t="n">
        <f aca="false">IF(A84&lt;=Premissas!$B$7,Premissas!$B$6/Premissas!$B$7,IF(A84&lt;=Premissas!$B$7+Premissas!$B$8,0,IF(A84&lt;=Premissas!$B$7+Premissas!$B$8+Premissas!$B$10,Premissas!$B$9/Premissas!$B$10,0)))</f>
        <v>0</v>
      </c>
      <c r="D84" s="16" t="n">
        <f aca="false">IF(Y84&gt;0,IF(DAY(B84)&lt;=Premissas!$B$12,DATE(YEAR(B84),MONTH(B84),Premissas!$B$16),DATE(YEAR(B84),MONTH(B84)+1,Premissas!$B$16))-Premissas!$B$11+1-Premissas!$B$15,0)</f>
        <v>0</v>
      </c>
      <c r="E84" s="13" t="n">
        <f aca="false">-SUMIF($D$5:$D$94,A84,$Y$5:$Y$94)</f>
        <v>-0</v>
      </c>
      <c r="F84" s="13" t="n">
        <f aca="false">-SUMIF($W$5:$W$94,A84,$V$5:$V$94)-SUMIF($AB$5:$AB$94,A84,$AA$5:$AA$94)</f>
        <v>-0</v>
      </c>
      <c r="G84" s="30" t="n">
        <f aca="false">C84/Premissas!$B$18*Premissas!$B$19*Premissas!$B$23</f>
        <v>0</v>
      </c>
      <c r="H84" s="30" t="n">
        <f aca="false">C84/Premissas!$B$18*Premissas!$B$19*Premissas!$B$24</f>
        <v>0</v>
      </c>
      <c r="I84" s="13" t="n">
        <f aca="false">-IF($A84-(Premissas!$B$60)&gt;=1,INDEX($G$5:$G$94,$A84-(Premissas!$B$60)),0)*(Premissas!$B$59*Unitário!$B$22+(Premissas!$B$61*Unitário!$B$24+Premissas!$B$63*Unitário!$B$25))</f>
        <v>-0</v>
      </c>
      <c r="J84" s="13" t="n">
        <f aca="false">IF($A84-(Premissas!$B$54)&gt;=1,INDEX($G$5:$G$94,$A84-(Premissas!$B$54)),0)*Premissas!$B$26*((Premissas!$B$59*Unitário!$B$22+(Premissas!$B$61*Unitário!$B$24+Premissas!$B$63*Unitário!$B$25))-Premissas!$B$39)</f>
        <v>0</v>
      </c>
      <c r="K84" s="13" t="n">
        <f aca="false">IF($A84-(Premissas!$B$54+Premissas!$B$57)&gt;=1,INDEX($G$5:$G$94,$A84-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84" s="13" t="n">
        <f aca="false">IF($A84-(Premissas!$B$54+Premissas!$B$55)&gt;=1,INDEX($G$5:$G$94,$A84-(Premissas!$B$54+Premissas!$B$55)),0)*Unitário!$B$21*(Premissas!$B$51-(1-Premissas!$B$61)*Unitário!$B$24-(1-Premissas!$B$63)*Unitário!$B$25-(1-Premissas!$B$59)*Unitário!$B$22)</f>
        <v>0</v>
      </c>
      <c r="M84" s="13" t="n">
        <f aca="false">IF($A84-(Premissas!$B$56)&gt;=1,INDEX($H$5:$H$94,$A84-(Premissas!$B$56)),0)*(Premissas!$B$52-Unitário!$B$27)</f>
        <v>0</v>
      </c>
      <c r="N84" s="13" t="n">
        <f aca="false">-IF($A84-(Premissas!$B$60)&gt;=1,INDEX($H$5:$H$94,$A84-(Premissas!$B$60)),0)*(Premissas!$B$59*Unitário!$B$22+Premissas!$B$31)</f>
        <v>-0</v>
      </c>
      <c r="O84" s="13" t="n">
        <f aca="false">IF($A84-(Premissas!$B$54+Premissas!$B$57)&gt;=1,INDEX($H$5:$H$94,$A84-(Premissas!$B$54+Premissas!$B$57)),0)*Premissas!$B$27*(-Premissas!$B$52-Premissas!$B$41+Unitário!$B$27+(1-Premissas!$B$62)*Premissas!$B$31+Premissas!$B$59*Unitário!$B$22)</f>
        <v>-0</v>
      </c>
      <c r="P84" s="13" t="n">
        <f aca="false">-Premissas!$B$42*(IF($A84-(Premissas!$B$54+Premissas!$B$55)&gt;=1,INDEX($G$5:$G$94,$A84-(Premissas!$B$54+Premissas!$B$55)),0)*Unitário!$B$21*Premissas!$B$51+IF($A84-(Premissas!$B$56)&gt;=1,INDEX($H$5:$H$94,$A84-(Premissas!$B$56)),0)*(1-Premissas!$B$27)*Premissas!$B$52)</f>
        <v>-0</v>
      </c>
      <c r="Q84" s="13" t="n">
        <f aca="false">-IF(AND(DAY(B84+Premissas!$B$15)=Premissas!$B$16,B84+Premissas!$B$15&gt;=DATE(YEAR(Premissas!$B$11),MONTH(Premissas!$B$11)+1,Premissas!$B$16)),Premissas!$B$43,0)-IF(OR(E84&lt;0,F84&lt;0,IF(AND(DAY(B84+Premissas!$B$15)=Premissas!$B$16,B84+Premissas!$B$15&gt;=DATE(YEAR(Premissas!$B$11),MONTH(Premissas!$B$11)+1,Premissas!$B$16)),Premissas!$B$43,0)&gt;0),Premissas!$B$67*Premissas!$B$68,0)</f>
        <v>-0</v>
      </c>
      <c r="R84" s="13" t="n">
        <f aca="false">E84+F84+SUM(I84:Q84)</f>
        <v>0</v>
      </c>
      <c r="S84" s="13" t="n">
        <f aca="false">S83+R84</f>
        <v>1374.73938121533</v>
      </c>
      <c r="T84" s="16" t="n">
        <f aca="false">IF(AND($A84&gt;$B$100,S84&gt;=0),1,0)</f>
        <v>1</v>
      </c>
      <c r="U84" s="13" t="n">
        <f aca="false">S84-SUM($E$5:E84)-(1+Premissas!$B$17)*SUM($C$5:C84)</f>
        <v>1374.73938121533</v>
      </c>
      <c r="V84" s="13" t="n">
        <f aca="false">(G84+H84)*Premissas!$B$21</f>
        <v>0</v>
      </c>
      <c r="W84" s="16" t="n">
        <f aca="false">IF(V84&gt;0,DATE(YEAR(B84),MONTH(B84)+1,Premissas!$B$16)-Premissas!$B$11+1-Premissas!$B$15,0)</f>
        <v>0</v>
      </c>
      <c r="X84" s="13" t="n">
        <f aca="false">X83-Y83+C84*(1+Premissas!$B$17)</f>
        <v>0</v>
      </c>
      <c r="Y84" s="13" t="n">
        <f aca="false">IF(OR(X84&gt;=Premissas!$B$13,B84=DATE(YEAR(B84),MONTH(B84)+1,0)),X84,0)</f>
        <v>0</v>
      </c>
      <c r="Z84" s="13" t="n">
        <f aca="false">Z83-AA83+C84/Premissas!$B$18*Premissas!$B$20</f>
        <v>0</v>
      </c>
      <c r="AA84" s="13" t="n">
        <f aca="false">IF(OR(Z84&gt;=Premissas!$B$14,B84=DATE(YEAR(B84),MONTH(B84)+1,0)),Z84,0)</f>
        <v>0</v>
      </c>
      <c r="AB84" s="16" t="n">
        <f aca="false">IF(AA84&gt;0,IF(DAY(B84)&lt;=Premissas!$B$12,DATE(YEAR(B84),MONTH(B84),Premissas!$B$16),DATE(YEAR(B84),MONTH(B84)+1,Premissas!$B$16))-Premissas!$B$11+1-Premissas!$B$15,0)</f>
        <v>0</v>
      </c>
    </row>
    <row r="85" customFormat="false" ht="15" hidden="false" customHeight="true" outlineLevel="0" collapsed="false">
      <c r="A85" s="16" t="n">
        <v>81</v>
      </c>
      <c r="B85" s="31" t="n">
        <f aca="false">Premissas!$B$11+A85-1</f>
        <v>46398</v>
      </c>
      <c r="C85" s="13" t="n">
        <f aca="false">IF(A85&lt;=Premissas!$B$7,Premissas!$B$6/Premissas!$B$7,IF(A85&lt;=Premissas!$B$7+Premissas!$B$8,0,IF(A85&lt;=Premissas!$B$7+Premissas!$B$8+Premissas!$B$10,Premissas!$B$9/Premissas!$B$10,0)))</f>
        <v>0</v>
      </c>
      <c r="D85" s="16" t="n">
        <f aca="false">IF(Y85&gt;0,IF(DAY(B85)&lt;=Premissas!$B$12,DATE(YEAR(B85),MONTH(B85),Premissas!$B$16),DATE(YEAR(B85),MONTH(B85)+1,Premissas!$B$16))-Premissas!$B$11+1-Premissas!$B$15,0)</f>
        <v>0</v>
      </c>
      <c r="E85" s="13" t="n">
        <f aca="false">-SUMIF($D$5:$D$94,A85,$Y$5:$Y$94)</f>
        <v>-0</v>
      </c>
      <c r="F85" s="13" t="n">
        <f aca="false">-SUMIF($W$5:$W$94,A85,$V$5:$V$94)-SUMIF($AB$5:$AB$94,A85,$AA$5:$AA$94)</f>
        <v>-0</v>
      </c>
      <c r="G85" s="30" t="n">
        <f aca="false">C85/Premissas!$B$18*Premissas!$B$19*Premissas!$B$23</f>
        <v>0</v>
      </c>
      <c r="H85" s="30" t="n">
        <f aca="false">C85/Premissas!$B$18*Premissas!$B$19*Premissas!$B$24</f>
        <v>0</v>
      </c>
      <c r="I85" s="13" t="n">
        <f aca="false">-IF($A85-(Premissas!$B$60)&gt;=1,INDEX($G$5:$G$94,$A85-(Premissas!$B$60)),0)*(Premissas!$B$59*Unitário!$B$22+(Premissas!$B$61*Unitário!$B$24+Premissas!$B$63*Unitário!$B$25))</f>
        <v>-0</v>
      </c>
      <c r="J85" s="13" t="n">
        <f aca="false">IF($A85-(Premissas!$B$54)&gt;=1,INDEX($G$5:$G$94,$A85-(Premissas!$B$54)),0)*Premissas!$B$26*((Premissas!$B$59*Unitário!$B$22+(Premissas!$B$61*Unitário!$B$24+Premissas!$B$63*Unitário!$B$25))-Premissas!$B$39)</f>
        <v>0</v>
      </c>
      <c r="K85" s="13" t="n">
        <f aca="false">IF($A85-(Premissas!$B$54+Premissas!$B$57)&gt;=1,INDEX($G$5:$G$94,$A85-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85" s="13" t="n">
        <f aca="false">IF($A85-(Premissas!$B$54+Premissas!$B$55)&gt;=1,INDEX($G$5:$G$94,$A85-(Premissas!$B$54+Premissas!$B$55)),0)*Unitário!$B$21*(Premissas!$B$51-(1-Premissas!$B$61)*Unitário!$B$24-(1-Premissas!$B$63)*Unitário!$B$25-(1-Premissas!$B$59)*Unitário!$B$22)</f>
        <v>0</v>
      </c>
      <c r="M85" s="13" t="n">
        <f aca="false">IF($A85-(Premissas!$B$56)&gt;=1,INDEX($H$5:$H$94,$A85-(Premissas!$B$56)),0)*(Premissas!$B$52-Unitário!$B$27)</f>
        <v>0</v>
      </c>
      <c r="N85" s="13" t="n">
        <f aca="false">-IF($A85-(Premissas!$B$60)&gt;=1,INDEX($H$5:$H$94,$A85-(Premissas!$B$60)),0)*(Premissas!$B$59*Unitário!$B$22+Premissas!$B$31)</f>
        <v>-0</v>
      </c>
      <c r="O85" s="13" t="n">
        <f aca="false">IF($A85-(Premissas!$B$54+Premissas!$B$57)&gt;=1,INDEX($H$5:$H$94,$A85-(Premissas!$B$54+Premissas!$B$57)),0)*Premissas!$B$27*(-Premissas!$B$52-Premissas!$B$41+Unitário!$B$27+(1-Premissas!$B$62)*Premissas!$B$31+Premissas!$B$59*Unitário!$B$22)</f>
        <v>-0</v>
      </c>
      <c r="P85" s="13" t="n">
        <f aca="false">-Premissas!$B$42*(IF($A85-(Premissas!$B$54+Premissas!$B$55)&gt;=1,INDEX($G$5:$G$94,$A85-(Premissas!$B$54+Premissas!$B$55)),0)*Unitário!$B$21*Premissas!$B$51+IF($A85-(Premissas!$B$56)&gt;=1,INDEX($H$5:$H$94,$A85-(Premissas!$B$56)),0)*(1-Premissas!$B$27)*Premissas!$B$52)</f>
        <v>-0</v>
      </c>
      <c r="Q85" s="13" t="n">
        <f aca="false">-IF(AND(DAY(B85+Premissas!$B$15)=Premissas!$B$16,B85+Premissas!$B$15&gt;=DATE(YEAR(Premissas!$B$11),MONTH(Premissas!$B$11)+1,Premissas!$B$16)),Premissas!$B$43,0)-IF(OR(E85&lt;0,F85&lt;0,IF(AND(DAY(B85+Premissas!$B$15)=Premissas!$B$16,B85+Premissas!$B$15&gt;=DATE(YEAR(Premissas!$B$11),MONTH(Premissas!$B$11)+1,Premissas!$B$16)),Premissas!$B$43,0)&gt;0),Premissas!$B$67*Premissas!$B$68,0)</f>
        <v>-0</v>
      </c>
      <c r="R85" s="13" t="n">
        <f aca="false">E85+F85+SUM(I85:Q85)</f>
        <v>0</v>
      </c>
      <c r="S85" s="13" t="n">
        <f aca="false">S84+R85</f>
        <v>1374.73938121533</v>
      </c>
      <c r="T85" s="16" t="n">
        <f aca="false">IF(AND($A85&gt;$B$100,S85&gt;=0),1,0)</f>
        <v>1</v>
      </c>
      <c r="U85" s="13" t="n">
        <f aca="false">S85-SUM($E$5:E85)-(1+Premissas!$B$17)*SUM($C$5:C85)</f>
        <v>1374.73938121533</v>
      </c>
      <c r="V85" s="13" t="n">
        <f aca="false">(G85+H85)*Premissas!$B$21</f>
        <v>0</v>
      </c>
      <c r="W85" s="16" t="n">
        <f aca="false">IF(V85&gt;0,DATE(YEAR(B85),MONTH(B85)+1,Premissas!$B$16)-Premissas!$B$11+1-Premissas!$B$15,0)</f>
        <v>0</v>
      </c>
      <c r="X85" s="13" t="n">
        <f aca="false">X84-Y84+C85*(1+Premissas!$B$17)</f>
        <v>0</v>
      </c>
      <c r="Y85" s="13" t="n">
        <f aca="false">IF(OR(X85&gt;=Premissas!$B$13,B85=DATE(YEAR(B85),MONTH(B85)+1,0)),X85,0)</f>
        <v>0</v>
      </c>
      <c r="Z85" s="13" t="n">
        <f aca="false">Z84-AA84+C85/Premissas!$B$18*Premissas!$B$20</f>
        <v>0</v>
      </c>
      <c r="AA85" s="13" t="n">
        <f aca="false">IF(OR(Z85&gt;=Premissas!$B$14,B85=DATE(YEAR(B85),MONTH(B85)+1,0)),Z85,0)</f>
        <v>0</v>
      </c>
      <c r="AB85" s="16" t="n">
        <f aca="false">IF(AA85&gt;0,IF(DAY(B85)&lt;=Premissas!$B$12,DATE(YEAR(B85),MONTH(B85),Premissas!$B$16),DATE(YEAR(B85),MONTH(B85)+1,Premissas!$B$16))-Premissas!$B$11+1-Premissas!$B$15,0)</f>
        <v>0</v>
      </c>
    </row>
    <row r="86" customFormat="false" ht="15" hidden="false" customHeight="true" outlineLevel="0" collapsed="false">
      <c r="A86" s="16" t="n">
        <v>82</v>
      </c>
      <c r="B86" s="31" t="n">
        <f aca="false">Premissas!$B$11+A86-1</f>
        <v>46399</v>
      </c>
      <c r="C86" s="13" t="n">
        <f aca="false">IF(A86&lt;=Premissas!$B$7,Premissas!$B$6/Premissas!$B$7,IF(A86&lt;=Premissas!$B$7+Premissas!$B$8,0,IF(A86&lt;=Premissas!$B$7+Premissas!$B$8+Premissas!$B$10,Premissas!$B$9/Premissas!$B$10,0)))</f>
        <v>0</v>
      </c>
      <c r="D86" s="16" t="n">
        <f aca="false">IF(Y86&gt;0,IF(DAY(B86)&lt;=Premissas!$B$12,DATE(YEAR(B86),MONTH(B86),Premissas!$B$16),DATE(YEAR(B86),MONTH(B86)+1,Premissas!$B$16))-Premissas!$B$11+1-Premissas!$B$15,0)</f>
        <v>0</v>
      </c>
      <c r="E86" s="13" t="n">
        <f aca="false">-SUMIF($D$5:$D$94,A86,$Y$5:$Y$94)</f>
        <v>-0</v>
      </c>
      <c r="F86" s="13" t="n">
        <f aca="false">-SUMIF($W$5:$W$94,A86,$V$5:$V$94)-SUMIF($AB$5:$AB$94,A86,$AA$5:$AA$94)</f>
        <v>-0</v>
      </c>
      <c r="G86" s="30" t="n">
        <f aca="false">C86/Premissas!$B$18*Premissas!$B$19*Premissas!$B$23</f>
        <v>0</v>
      </c>
      <c r="H86" s="30" t="n">
        <f aca="false">C86/Premissas!$B$18*Premissas!$B$19*Premissas!$B$24</f>
        <v>0</v>
      </c>
      <c r="I86" s="13" t="n">
        <f aca="false">-IF($A86-(Premissas!$B$60)&gt;=1,INDEX($G$5:$G$94,$A86-(Premissas!$B$60)),0)*(Premissas!$B$59*Unitário!$B$22+(Premissas!$B$61*Unitário!$B$24+Premissas!$B$63*Unitário!$B$25))</f>
        <v>-0</v>
      </c>
      <c r="J86" s="13" t="n">
        <f aca="false">IF($A86-(Premissas!$B$54)&gt;=1,INDEX($G$5:$G$94,$A86-(Premissas!$B$54)),0)*Premissas!$B$26*((Premissas!$B$59*Unitário!$B$22+(Premissas!$B$61*Unitário!$B$24+Premissas!$B$63*Unitário!$B$25))-Premissas!$B$39)</f>
        <v>0</v>
      </c>
      <c r="K86" s="13" t="n">
        <f aca="false">IF($A86-(Premissas!$B$54+Premissas!$B$57)&gt;=1,INDEX($G$5:$G$94,$A86-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86" s="13" t="n">
        <f aca="false">IF($A86-(Premissas!$B$54+Premissas!$B$55)&gt;=1,INDEX($G$5:$G$94,$A86-(Premissas!$B$54+Premissas!$B$55)),0)*Unitário!$B$21*(Premissas!$B$51-(1-Premissas!$B$61)*Unitário!$B$24-(1-Premissas!$B$63)*Unitário!$B$25-(1-Premissas!$B$59)*Unitário!$B$22)</f>
        <v>0</v>
      </c>
      <c r="M86" s="13" t="n">
        <f aca="false">IF($A86-(Premissas!$B$56)&gt;=1,INDEX($H$5:$H$94,$A86-(Premissas!$B$56)),0)*(Premissas!$B$52-Unitário!$B$27)</f>
        <v>0</v>
      </c>
      <c r="N86" s="13" t="n">
        <f aca="false">-IF($A86-(Premissas!$B$60)&gt;=1,INDEX($H$5:$H$94,$A86-(Premissas!$B$60)),0)*(Premissas!$B$59*Unitário!$B$22+Premissas!$B$31)</f>
        <v>-0</v>
      </c>
      <c r="O86" s="13" t="n">
        <f aca="false">IF($A86-(Premissas!$B$54+Premissas!$B$57)&gt;=1,INDEX($H$5:$H$94,$A86-(Premissas!$B$54+Premissas!$B$57)),0)*Premissas!$B$27*(-Premissas!$B$52-Premissas!$B$41+Unitário!$B$27+(1-Premissas!$B$62)*Premissas!$B$31+Premissas!$B$59*Unitário!$B$22)</f>
        <v>-0</v>
      </c>
      <c r="P86" s="13" t="n">
        <f aca="false">-Premissas!$B$42*(IF($A86-(Premissas!$B$54+Premissas!$B$55)&gt;=1,INDEX($G$5:$G$94,$A86-(Premissas!$B$54+Premissas!$B$55)),0)*Unitário!$B$21*Premissas!$B$51+IF($A86-(Premissas!$B$56)&gt;=1,INDEX($H$5:$H$94,$A86-(Premissas!$B$56)),0)*(1-Premissas!$B$27)*Premissas!$B$52)</f>
        <v>-0</v>
      </c>
      <c r="Q86" s="13" t="n">
        <f aca="false">-IF(AND(DAY(B86+Premissas!$B$15)=Premissas!$B$16,B86+Premissas!$B$15&gt;=DATE(YEAR(Premissas!$B$11),MONTH(Premissas!$B$11)+1,Premissas!$B$16)),Premissas!$B$43,0)-IF(OR(E86&lt;0,F86&lt;0,IF(AND(DAY(B86+Premissas!$B$15)=Premissas!$B$16,B86+Premissas!$B$15&gt;=DATE(YEAR(Premissas!$B$11),MONTH(Premissas!$B$11)+1,Premissas!$B$16)),Premissas!$B$43,0)&gt;0),Premissas!$B$67*Premissas!$B$68,0)</f>
        <v>-0</v>
      </c>
      <c r="R86" s="13" t="n">
        <f aca="false">E86+F86+SUM(I86:Q86)</f>
        <v>0</v>
      </c>
      <c r="S86" s="13" t="n">
        <f aca="false">S85+R86</f>
        <v>1374.73938121533</v>
      </c>
      <c r="T86" s="16" t="n">
        <f aca="false">IF(AND($A86&gt;$B$100,S86&gt;=0),1,0)</f>
        <v>1</v>
      </c>
      <c r="U86" s="13" t="n">
        <f aca="false">S86-SUM($E$5:E86)-(1+Premissas!$B$17)*SUM($C$5:C86)</f>
        <v>1374.73938121533</v>
      </c>
      <c r="V86" s="13" t="n">
        <f aca="false">(G86+H86)*Premissas!$B$21</f>
        <v>0</v>
      </c>
      <c r="W86" s="16" t="n">
        <f aca="false">IF(V86&gt;0,DATE(YEAR(B86),MONTH(B86)+1,Premissas!$B$16)-Premissas!$B$11+1-Premissas!$B$15,0)</f>
        <v>0</v>
      </c>
      <c r="X86" s="13" t="n">
        <f aca="false">X85-Y85+C86*(1+Premissas!$B$17)</f>
        <v>0</v>
      </c>
      <c r="Y86" s="13" t="n">
        <f aca="false">IF(OR(X86&gt;=Premissas!$B$13,B86=DATE(YEAR(B86),MONTH(B86)+1,0)),X86,0)</f>
        <v>0</v>
      </c>
      <c r="Z86" s="13" t="n">
        <f aca="false">Z85-AA85+C86/Premissas!$B$18*Premissas!$B$20</f>
        <v>0</v>
      </c>
      <c r="AA86" s="13" t="n">
        <f aca="false">IF(OR(Z86&gt;=Premissas!$B$14,B86=DATE(YEAR(B86),MONTH(B86)+1,0)),Z86,0)</f>
        <v>0</v>
      </c>
      <c r="AB86" s="16" t="n">
        <f aca="false">IF(AA86&gt;0,IF(DAY(B86)&lt;=Premissas!$B$12,DATE(YEAR(B86),MONTH(B86),Premissas!$B$16),DATE(YEAR(B86),MONTH(B86)+1,Premissas!$B$16))-Premissas!$B$11+1-Premissas!$B$15,0)</f>
        <v>0</v>
      </c>
    </row>
    <row r="87" customFormat="false" ht="15" hidden="false" customHeight="true" outlineLevel="0" collapsed="false">
      <c r="A87" s="16" t="n">
        <v>83</v>
      </c>
      <c r="B87" s="31" t="n">
        <f aca="false">Premissas!$B$11+A87-1</f>
        <v>46400</v>
      </c>
      <c r="C87" s="13" t="n">
        <f aca="false">IF(A87&lt;=Premissas!$B$7,Premissas!$B$6/Premissas!$B$7,IF(A87&lt;=Premissas!$B$7+Premissas!$B$8,0,IF(A87&lt;=Premissas!$B$7+Premissas!$B$8+Premissas!$B$10,Premissas!$B$9/Premissas!$B$10,0)))</f>
        <v>0</v>
      </c>
      <c r="D87" s="16" t="n">
        <f aca="false">IF(Y87&gt;0,IF(DAY(B87)&lt;=Premissas!$B$12,DATE(YEAR(B87),MONTH(B87),Premissas!$B$16),DATE(YEAR(B87),MONTH(B87)+1,Premissas!$B$16))-Premissas!$B$11+1-Premissas!$B$15,0)</f>
        <v>0</v>
      </c>
      <c r="E87" s="13" t="n">
        <f aca="false">-SUMIF($D$5:$D$94,A87,$Y$5:$Y$94)</f>
        <v>-0</v>
      </c>
      <c r="F87" s="13" t="n">
        <f aca="false">-SUMIF($W$5:$W$94,A87,$V$5:$V$94)-SUMIF($AB$5:$AB$94,A87,$AA$5:$AA$94)</f>
        <v>-0</v>
      </c>
      <c r="G87" s="30" t="n">
        <f aca="false">C87/Premissas!$B$18*Premissas!$B$19*Premissas!$B$23</f>
        <v>0</v>
      </c>
      <c r="H87" s="30" t="n">
        <f aca="false">C87/Premissas!$B$18*Premissas!$B$19*Premissas!$B$24</f>
        <v>0</v>
      </c>
      <c r="I87" s="13" t="n">
        <f aca="false">-IF($A87-(Premissas!$B$60)&gt;=1,INDEX($G$5:$G$94,$A87-(Premissas!$B$60)),0)*(Premissas!$B$59*Unitário!$B$22+(Premissas!$B$61*Unitário!$B$24+Premissas!$B$63*Unitário!$B$25))</f>
        <v>-0</v>
      </c>
      <c r="J87" s="13" t="n">
        <f aca="false">IF($A87-(Premissas!$B$54)&gt;=1,INDEX($G$5:$G$94,$A87-(Premissas!$B$54)),0)*Premissas!$B$26*((Premissas!$B$59*Unitário!$B$22+(Premissas!$B$61*Unitário!$B$24+Premissas!$B$63*Unitário!$B$25))-Premissas!$B$39)</f>
        <v>0</v>
      </c>
      <c r="K87" s="13" t="n">
        <f aca="false">IF($A87-(Premissas!$B$54+Premissas!$B$57)&gt;=1,INDEX($G$5:$G$94,$A87-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87" s="13" t="n">
        <f aca="false">IF($A87-(Premissas!$B$54+Premissas!$B$55)&gt;=1,INDEX($G$5:$G$94,$A87-(Premissas!$B$54+Premissas!$B$55)),0)*Unitário!$B$21*(Premissas!$B$51-(1-Premissas!$B$61)*Unitário!$B$24-(1-Premissas!$B$63)*Unitário!$B$25-(1-Premissas!$B$59)*Unitário!$B$22)</f>
        <v>0</v>
      </c>
      <c r="M87" s="13" t="n">
        <f aca="false">IF($A87-(Premissas!$B$56)&gt;=1,INDEX($H$5:$H$94,$A87-(Premissas!$B$56)),0)*(Premissas!$B$52-Unitário!$B$27)</f>
        <v>0</v>
      </c>
      <c r="N87" s="13" t="n">
        <f aca="false">-IF($A87-(Premissas!$B$60)&gt;=1,INDEX($H$5:$H$94,$A87-(Premissas!$B$60)),0)*(Premissas!$B$59*Unitário!$B$22+Premissas!$B$31)</f>
        <v>-0</v>
      </c>
      <c r="O87" s="13" t="n">
        <f aca="false">IF($A87-(Premissas!$B$54+Premissas!$B$57)&gt;=1,INDEX($H$5:$H$94,$A87-(Premissas!$B$54+Premissas!$B$57)),0)*Premissas!$B$27*(-Premissas!$B$52-Premissas!$B$41+Unitário!$B$27+(1-Premissas!$B$62)*Premissas!$B$31+Premissas!$B$59*Unitário!$B$22)</f>
        <v>-0</v>
      </c>
      <c r="P87" s="13" t="n">
        <f aca="false">-Premissas!$B$42*(IF($A87-(Premissas!$B$54+Premissas!$B$55)&gt;=1,INDEX($G$5:$G$94,$A87-(Premissas!$B$54+Premissas!$B$55)),0)*Unitário!$B$21*Premissas!$B$51+IF($A87-(Premissas!$B$56)&gt;=1,INDEX($H$5:$H$94,$A87-(Premissas!$B$56)),0)*(1-Premissas!$B$27)*Premissas!$B$52)</f>
        <v>-0</v>
      </c>
      <c r="Q87" s="13" t="n">
        <f aca="false">-IF(AND(DAY(B87+Premissas!$B$15)=Premissas!$B$16,B87+Premissas!$B$15&gt;=DATE(YEAR(Premissas!$B$11),MONTH(Premissas!$B$11)+1,Premissas!$B$16)),Premissas!$B$43,0)-IF(OR(E87&lt;0,F87&lt;0,IF(AND(DAY(B87+Premissas!$B$15)=Premissas!$B$16,B87+Premissas!$B$15&gt;=DATE(YEAR(Premissas!$B$11),MONTH(Premissas!$B$11)+1,Premissas!$B$16)),Premissas!$B$43,0)&gt;0),Premissas!$B$67*Premissas!$B$68,0)</f>
        <v>-0</v>
      </c>
      <c r="R87" s="13" t="n">
        <f aca="false">E87+F87+SUM(I87:Q87)</f>
        <v>0</v>
      </c>
      <c r="S87" s="13" t="n">
        <f aca="false">S86+R87</f>
        <v>1374.73938121533</v>
      </c>
      <c r="T87" s="16" t="n">
        <f aca="false">IF(AND($A87&gt;$B$100,S87&gt;=0),1,0)</f>
        <v>1</v>
      </c>
      <c r="U87" s="13" t="n">
        <f aca="false">S87-SUM($E$5:E87)-(1+Premissas!$B$17)*SUM($C$5:C87)</f>
        <v>1374.73938121533</v>
      </c>
      <c r="V87" s="13" t="n">
        <f aca="false">(G87+H87)*Premissas!$B$21</f>
        <v>0</v>
      </c>
      <c r="W87" s="16" t="n">
        <f aca="false">IF(V87&gt;0,DATE(YEAR(B87),MONTH(B87)+1,Premissas!$B$16)-Premissas!$B$11+1-Premissas!$B$15,0)</f>
        <v>0</v>
      </c>
      <c r="X87" s="13" t="n">
        <f aca="false">X86-Y86+C87*(1+Premissas!$B$17)</f>
        <v>0</v>
      </c>
      <c r="Y87" s="13" t="n">
        <f aca="false">IF(OR(X87&gt;=Premissas!$B$13,B87=DATE(YEAR(B87),MONTH(B87)+1,0)),X87,0)</f>
        <v>0</v>
      </c>
      <c r="Z87" s="13" t="n">
        <f aca="false">Z86-AA86+C87/Premissas!$B$18*Premissas!$B$20</f>
        <v>0</v>
      </c>
      <c r="AA87" s="13" t="n">
        <f aca="false">IF(OR(Z87&gt;=Premissas!$B$14,B87=DATE(YEAR(B87),MONTH(B87)+1,0)),Z87,0)</f>
        <v>0</v>
      </c>
      <c r="AB87" s="16" t="n">
        <f aca="false">IF(AA87&gt;0,IF(DAY(B87)&lt;=Premissas!$B$12,DATE(YEAR(B87),MONTH(B87),Premissas!$B$16),DATE(YEAR(B87),MONTH(B87)+1,Premissas!$B$16))-Premissas!$B$11+1-Premissas!$B$15,0)</f>
        <v>0</v>
      </c>
    </row>
    <row r="88" customFormat="false" ht="15" hidden="false" customHeight="true" outlineLevel="0" collapsed="false">
      <c r="A88" s="16" t="n">
        <v>84</v>
      </c>
      <c r="B88" s="31" t="n">
        <f aca="false">Premissas!$B$11+A88-1</f>
        <v>46401</v>
      </c>
      <c r="C88" s="13" t="n">
        <f aca="false">IF(A88&lt;=Premissas!$B$7,Premissas!$B$6/Premissas!$B$7,IF(A88&lt;=Premissas!$B$7+Premissas!$B$8,0,IF(A88&lt;=Premissas!$B$7+Premissas!$B$8+Premissas!$B$10,Premissas!$B$9/Premissas!$B$10,0)))</f>
        <v>0</v>
      </c>
      <c r="D88" s="16" t="n">
        <f aca="false">IF(Y88&gt;0,IF(DAY(B88)&lt;=Premissas!$B$12,DATE(YEAR(B88),MONTH(B88),Premissas!$B$16),DATE(YEAR(B88),MONTH(B88)+1,Premissas!$B$16))-Premissas!$B$11+1-Premissas!$B$15,0)</f>
        <v>0</v>
      </c>
      <c r="E88" s="13" t="n">
        <f aca="false">-SUMIF($D$5:$D$94,A88,$Y$5:$Y$94)</f>
        <v>-0</v>
      </c>
      <c r="F88" s="13" t="n">
        <f aca="false">-SUMIF($W$5:$W$94,A88,$V$5:$V$94)-SUMIF($AB$5:$AB$94,A88,$AA$5:$AA$94)</f>
        <v>-0</v>
      </c>
      <c r="G88" s="30" t="n">
        <f aca="false">C88/Premissas!$B$18*Premissas!$B$19*Premissas!$B$23</f>
        <v>0</v>
      </c>
      <c r="H88" s="30" t="n">
        <f aca="false">C88/Premissas!$B$18*Premissas!$B$19*Premissas!$B$24</f>
        <v>0</v>
      </c>
      <c r="I88" s="13" t="n">
        <f aca="false">-IF($A88-(Premissas!$B$60)&gt;=1,INDEX($G$5:$G$94,$A88-(Premissas!$B$60)),0)*(Premissas!$B$59*Unitário!$B$22+(Premissas!$B$61*Unitário!$B$24+Premissas!$B$63*Unitário!$B$25))</f>
        <v>-0</v>
      </c>
      <c r="J88" s="13" t="n">
        <f aca="false">IF($A88-(Premissas!$B$54)&gt;=1,INDEX($G$5:$G$94,$A88-(Premissas!$B$54)),0)*Premissas!$B$26*((Premissas!$B$59*Unitário!$B$22+(Premissas!$B$61*Unitário!$B$24+Premissas!$B$63*Unitário!$B$25))-Premissas!$B$39)</f>
        <v>0</v>
      </c>
      <c r="K88" s="13" t="n">
        <f aca="false">IF($A88-(Premissas!$B$54+Premissas!$B$57)&gt;=1,INDEX($G$5:$G$94,$A88-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88" s="13" t="n">
        <f aca="false">IF($A88-(Premissas!$B$54+Premissas!$B$55)&gt;=1,INDEX($G$5:$G$94,$A88-(Premissas!$B$54+Premissas!$B$55)),0)*Unitário!$B$21*(Premissas!$B$51-(1-Premissas!$B$61)*Unitário!$B$24-(1-Premissas!$B$63)*Unitário!$B$25-(1-Premissas!$B$59)*Unitário!$B$22)</f>
        <v>0</v>
      </c>
      <c r="M88" s="13" t="n">
        <f aca="false">IF($A88-(Premissas!$B$56)&gt;=1,INDEX($H$5:$H$94,$A88-(Premissas!$B$56)),0)*(Premissas!$B$52-Unitário!$B$27)</f>
        <v>0</v>
      </c>
      <c r="N88" s="13" t="n">
        <f aca="false">-IF($A88-(Premissas!$B$60)&gt;=1,INDEX($H$5:$H$94,$A88-(Premissas!$B$60)),0)*(Premissas!$B$59*Unitário!$B$22+Premissas!$B$31)</f>
        <v>-0</v>
      </c>
      <c r="O88" s="13" t="n">
        <f aca="false">IF($A88-(Premissas!$B$54+Premissas!$B$57)&gt;=1,INDEX($H$5:$H$94,$A88-(Premissas!$B$54+Premissas!$B$57)),0)*Premissas!$B$27*(-Premissas!$B$52-Premissas!$B$41+Unitário!$B$27+(1-Premissas!$B$62)*Premissas!$B$31+Premissas!$B$59*Unitário!$B$22)</f>
        <v>-0</v>
      </c>
      <c r="P88" s="13" t="n">
        <f aca="false">-Premissas!$B$42*(IF($A88-(Premissas!$B$54+Premissas!$B$55)&gt;=1,INDEX($G$5:$G$94,$A88-(Premissas!$B$54+Premissas!$B$55)),0)*Unitário!$B$21*Premissas!$B$51+IF($A88-(Premissas!$B$56)&gt;=1,INDEX($H$5:$H$94,$A88-(Premissas!$B$56)),0)*(1-Premissas!$B$27)*Premissas!$B$52)</f>
        <v>-0</v>
      </c>
      <c r="Q88" s="13" t="n">
        <f aca="false">-IF(AND(DAY(B88+Premissas!$B$15)=Premissas!$B$16,B88+Premissas!$B$15&gt;=DATE(YEAR(Premissas!$B$11),MONTH(Premissas!$B$11)+1,Premissas!$B$16)),Premissas!$B$43,0)-IF(OR(E88&lt;0,F88&lt;0,IF(AND(DAY(B88+Premissas!$B$15)=Premissas!$B$16,B88+Premissas!$B$15&gt;=DATE(YEAR(Premissas!$B$11),MONTH(Premissas!$B$11)+1,Premissas!$B$16)),Premissas!$B$43,0)&gt;0),Premissas!$B$67*Premissas!$B$68,0)</f>
        <v>-0</v>
      </c>
      <c r="R88" s="13" t="n">
        <f aca="false">E88+F88+SUM(I88:Q88)</f>
        <v>0</v>
      </c>
      <c r="S88" s="13" t="n">
        <f aca="false">S87+R88</f>
        <v>1374.73938121533</v>
      </c>
      <c r="T88" s="16" t="n">
        <f aca="false">IF(AND($A88&gt;$B$100,S88&gt;=0),1,0)</f>
        <v>1</v>
      </c>
      <c r="U88" s="13" t="n">
        <f aca="false">S88-SUM($E$5:E88)-(1+Premissas!$B$17)*SUM($C$5:C88)</f>
        <v>1374.73938121533</v>
      </c>
      <c r="V88" s="13" t="n">
        <f aca="false">(G88+H88)*Premissas!$B$21</f>
        <v>0</v>
      </c>
      <c r="W88" s="16" t="n">
        <f aca="false">IF(V88&gt;0,DATE(YEAR(B88),MONTH(B88)+1,Premissas!$B$16)-Premissas!$B$11+1-Premissas!$B$15,0)</f>
        <v>0</v>
      </c>
      <c r="X88" s="13" t="n">
        <f aca="false">X87-Y87+C88*(1+Premissas!$B$17)</f>
        <v>0</v>
      </c>
      <c r="Y88" s="13" t="n">
        <f aca="false">IF(OR(X88&gt;=Premissas!$B$13,B88=DATE(YEAR(B88),MONTH(B88)+1,0)),X88,0)</f>
        <v>0</v>
      </c>
      <c r="Z88" s="13" t="n">
        <f aca="false">Z87-AA87+C88/Premissas!$B$18*Premissas!$B$20</f>
        <v>0</v>
      </c>
      <c r="AA88" s="13" t="n">
        <f aca="false">IF(OR(Z88&gt;=Premissas!$B$14,B88=DATE(YEAR(B88),MONTH(B88)+1,0)),Z88,0)</f>
        <v>0</v>
      </c>
      <c r="AB88" s="16" t="n">
        <f aca="false">IF(AA88&gt;0,IF(DAY(B88)&lt;=Premissas!$B$12,DATE(YEAR(B88),MONTH(B88),Premissas!$B$16),DATE(YEAR(B88),MONTH(B88)+1,Premissas!$B$16))-Premissas!$B$11+1-Premissas!$B$15,0)</f>
        <v>0</v>
      </c>
    </row>
    <row r="89" customFormat="false" ht="15" hidden="false" customHeight="true" outlineLevel="0" collapsed="false">
      <c r="A89" s="16" t="n">
        <v>85</v>
      </c>
      <c r="B89" s="31" t="n">
        <f aca="false">Premissas!$B$11+A89-1</f>
        <v>46402</v>
      </c>
      <c r="C89" s="13" t="n">
        <f aca="false">IF(A89&lt;=Premissas!$B$7,Premissas!$B$6/Premissas!$B$7,IF(A89&lt;=Premissas!$B$7+Premissas!$B$8,0,IF(A89&lt;=Premissas!$B$7+Premissas!$B$8+Premissas!$B$10,Premissas!$B$9/Premissas!$B$10,0)))</f>
        <v>0</v>
      </c>
      <c r="D89" s="16" t="n">
        <f aca="false">IF(Y89&gt;0,IF(DAY(B89)&lt;=Premissas!$B$12,DATE(YEAR(B89),MONTH(B89),Premissas!$B$16),DATE(YEAR(B89),MONTH(B89)+1,Premissas!$B$16))-Premissas!$B$11+1-Premissas!$B$15,0)</f>
        <v>0</v>
      </c>
      <c r="E89" s="13" t="n">
        <f aca="false">-SUMIF($D$5:$D$94,A89,$Y$5:$Y$94)</f>
        <v>-0</v>
      </c>
      <c r="F89" s="13" t="n">
        <f aca="false">-SUMIF($W$5:$W$94,A89,$V$5:$V$94)-SUMIF($AB$5:$AB$94,A89,$AA$5:$AA$94)</f>
        <v>-0</v>
      </c>
      <c r="G89" s="30" t="n">
        <f aca="false">C89/Premissas!$B$18*Premissas!$B$19*Premissas!$B$23</f>
        <v>0</v>
      </c>
      <c r="H89" s="30" t="n">
        <f aca="false">C89/Premissas!$B$18*Premissas!$B$19*Premissas!$B$24</f>
        <v>0</v>
      </c>
      <c r="I89" s="13" t="n">
        <f aca="false">-IF($A89-(Premissas!$B$60)&gt;=1,INDEX($G$5:$G$94,$A89-(Premissas!$B$60)),0)*(Premissas!$B$59*Unitário!$B$22+(Premissas!$B$61*Unitário!$B$24+Premissas!$B$63*Unitário!$B$25))</f>
        <v>-0</v>
      </c>
      <c r="J89" s="13" t="n">
        <f aca="false">IF($A89-(Premissas!$B$54)&gt;=1,INDEX($G$5:$G$94,$A89-(Premissas!$B$54)),0)*Premissas!$B$26*((Premissas!$B$59*Unitário!$B$22+(Premissas!$B$61*Unitário!$B$24+Premissas!$B$63*Unitário!$B$25))-Premissas!$B$39)</f>
        <v>0</v>
      </c>
      <c r="K89" s="13" t="n">
        <f aca="false">IF($A89-(Premissas!$B$54+Premissas!$B$57)&gt;=1,INDEX($G$5:$G$94,$A89-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89" s="13" t="n">
        <f aca="false">IF($A89-(Premissas!$B$54+Premissas!$B$55)&gt;=1,INDEX($G$5:$G$94,$A89-(Premissas!$B$54+Premissas!$B$55)),0)*Unitário!$B$21*(Premissas!$B$51-(1-Premissas!$B$61)*Unitário!$B$24-(1-Premissas!$B$63)*Unitário!$B$25-(1-Premissas!$B$59)*Unitário!$B$22)</f>
        <v>0</v>
      </c>
      <c r="M89" s="13" t="n">
        <f aca="false">IF($A89-(Premissas!$B$56)&gt;=1,INDEX($H$5:$H$94,$A89-(Premissas!$B$56)),0)*(Premissas!$B$52-Unitário!$B$27)</f>
        <v>0</v>
      </c>
      <c r="N89" s="13" t="n">
        <f aca="false">-IF($A89-(Premissas!$B$60)&gt;=1,INDEX($H$5:$H$94,$A89-(Premissas!$B$60)),0)*(Premissas!$B$59*Unitário!$B$22+Premissas!$B$31)</f>
        <v>-0</v>
      </c>
      <c r="O89" s="13" t="n">
        <f aca="false">IF($A89-(Premissas!$B$54+Premissas!$B$57)&gt;=1,INDEX($H$5:$H$94,$A89-(Premissas!$B$54+Premissas!$B$57)),0)*Premissas!$B$27*(-Premissas!$B$52-Premissas!$B$41+Unitário!$B$27+(1-Premissas!$B$62)*Premissas!$B$31+Premissas!$B$59*Unitário!$B$22)</f>
        <v>-0</v>
      </c>
      <c r="P89" s="13" t="n">
        <f aca="false">-Premissas!$B$42*(IF($A89-(Premissas!$B$54+Premissas!$B$55)&gt;=1,INDEX($G$5:$G$94,$A89-(Premissas!$B$54+Premissas!$B$55)),0)*Unitário!$B$21*Premissas!$B$51+IF($A89-(Premissas!$B$56)&gt;=1,INDEX($H$5:$H$94,$A89-(Premissas!$B$56)),0)*(1-Premissas!$B$27)*Premissas!$B$52)</f>
        <v>-0</v>
      </c>
      <c r="Q89" s="13" t="n">
        <f aca="false">-IF(AND(DAY(B89+Premissas!$B$15)=Premissas!$B$16,B89+Premissas!$B$15&gt;=DATE(YEAR(Premissas!$B$11),MONTH(Premissas!$B$11)+1,Premissas!$B$16)),Premissas!$B$43,0)-IF(OR(E89&lt;0,F89&lt;0,IF(AND(DAY(B89+Premissas!$B$15)=Premissas!$B$16,B89+Premissas!$B$15&gt;=DATE(YEAR(Premissas!$B$11),MONTH(Premissas!$B$11)+1,Premissas!$B$16)),Premissas!$B$43,0)&gt;0),Premissas!$B$67*Premissas!$B$68,0)</f>
        <v>-0</v>
      </c>
      <c r="R89" s="13" t="n">
        <f aca="false">E89+F89+SUM(I89:Q89)</f>
        <v>0</v>
      </c>
      <c r="S89" s="13" t="n">
        <f aca="false">S88+R89</f>
        <v>1374.73938121533</v>
      </c>
      <c r="T89" s="16" t="n">
        <f aca="false">IF(AND($A89&gt;$B$100,S89&gt;=0),1,0)</f>
        <v>1</v>
      </c>
      <c r="U89" s="13" t="n">
        <f aca="false">S89-SUM($E$5:E89)-(1+Premissas!$B$17)*SUM($C$5:C89)</f>
        <v>1374.73938121533</v>
      </c>
      <c r="V89" s="13" t="n">
        <f aca="false">(G89+H89)*Premissas!$B$21</f>
        <v>0</v>
      </c>
      <c r="W89" s="16" t="n">
        <f aca="false">IF(V89&gt;0,DATE(YEAR(B89),MONTH(B89)+1,Premissas!$B$16)-Premissas!$B$11+1-Premissas!$B$15,0)</f>
        <v>0</v>
      </c>
      <c r="X89" s="13" t="n">
        <f aca="false">X88-Y88+C89*(1+Premissas!$B$17)</f>
        <v>0</v>
      </c>
      <c r="Y89" s="13" t="n">
        <f aca="false">IF(OR(X89&gt;=Premissas!$B$13,B89=DATE(YEAR(B89),MONTH(B89)+1,0)),X89,0)</f>
        <v>0</v>
      </c>
      <c r="Z89" s="13" t="n">
        <f aca="false">Z88-AA88+C89/Premissas!$B$18*Premissas!$B$20</f>
        <v>0</v>
      </c>
      <c r="AA89" s="13" t="n">
        <f aca="false">IF(OR(Z89&gt;=Premissas!$B$14,B89=DATE(YEAR(B89),MONTH(B89)+1,0)),Z89,0)</f>
        <v>0</v>
      </c>
      <c r="AB89" s="16" t="n">
        <f aca="false">IF(AA89&gt;0,IF(DAY(B89)&lt;=Premissas!$B$12,DATE(YEAR(B89),MONTH(B89),Premissas!$B$16),DATE(YEAR(B89),MONTH(B89)+1,Premissas!$B$16))-Premissas!$B$11+1-Premissas!$B$15,0)</f>
        <v>0</v>
      </c>
    </row>
    <row r="90" customFormat="false" ht="15" hidden="false" customHeight="true" outlineLevel="0" collapsed="false">
      <c r="A90" s="16" t="n">
        <v>86</v>
      </c>
      <c r="B90" s="31" t="n">
        <f aca="false">Premissas!$B$11+A90-1</f>
        <v>46403</v>
      </c>
      <c r="C90" s="13" t="n">
        <f aca="false">IF(A90&lt;=Premissas!$B$7,Premissas!$B$6/Premissas!$B$7,IF(A90&lt;=Premissas!$B$7+Premissas!$B$8,0,IF(A90&lt;=Premissas!$B$7+Premissas!$B$8+Premissas!$B$10,Premissas!$B$9/Premissas!$B$10,0)))</f>
        <v>0</v>
      </c>
      <c r="D90" s="16" t="n">
        <f aca="false">IF(Y90&gt;0,IF(DAY(B90)&lt;=Premissas!$B$12,DATE(YEAR(B90),MONTH(B90),Premissas!$B$16),DATE(YEAR(B90),MONTH(B90)+1,Premissas!$B$16))-Premissas!$B$11+1-Premissas!$B$15,0)</f>
        <v>0</v>
      </c>
      <c r="E90" s="13" t="n">
        <f aca="false">-SUMIF($D$5:$D$94,A90,$Y$5:$Y$94)</f>
        <v>-0</v>
      </c>
      <c r="F90" s="13" t="n">
        <f aca="false">-SUMIF($W$5:$W$94,A90,$V$5:$V$94)-SUMIF($AB$5:$AB$94,A90,$AA$5:$AA$94)</f>
        <v>-0</v>
      </c>
      <c r="G90" s="30" t="n">
        <f aca="false">C90/Premissas!$B$18*Premissas!$B$19*Premissas!$B$23</f>
        <v>0</v>
      </c>
      <c r="H90" s="30" t="n">
        <f aca="false">C90/Premissas!$B$18*Premissas!$B$19*Premissas!$B$24</f>
        <v>0</v>
      </c>
      <c r="I90" s="13" t="n">
        <f aca="false">-IF($A90-(Premissas!$B$60)&gt;=1,INDEX($G$5:$G$94,$A90-(Premissas!$B$60)),0)*(Premissas!$B$59*Unitário!$B$22+(Premissas!$B$61*Unitário!$B$24+Premissas!$B$63*Unitário!$B$25))</f>
        <v>-0</v>
      </c>
      <c r="J90" s="13" t="n">
        <f aca="false">IF($A90-(Premissas!$B$54)&gt;=1,INDEX($G$5:$G$94,$A90-(Premissas!$B$54)),0)*Premissas!$B$26*((Premissas!$B$59*Unitário!$B$22+(Premissas!$B$61*Unitário!$B$24+Premissas!$B$63*Unitário!$B$25))-Premissas!$B$39)</f>
        <v>0</v>
      </c>
      <c r="K90" s="13" t="n">
        <f aca="false">IF($A90-(Premissas!$B$54+Premissas!$B$57)&gt;=1,INDEX($G$5:$G$94,$A90-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90" s="13" t="n">
        <f aca="false">IF($A90-(Premissas!$B$54+Premissas!$B$55)&gt;=1,INDEX($G$5:$G$94,$A90-(Premissas!$B$54+Premissas!$B$55)),0)*Unitário!$B$21*(Premissas!$B$51-(1-Premissas!$B$61)*Unitário!$B$24-(1-Premissas!$B$63)*Unitário!$B$25-(1-Premissas!$B$59)*Unitário!$B$22)</f>
        <v>0</v>
      </c>
      <c r="M90" s="13" t="n">
        <f aca="false">IF($A90-(Premissas!$B$56)&gt;=1,INDEX($H$5:$H$94,$A90-(Premissas!$B$56)),0)*(Premissas!$B$52-Unitário!$B$27)</f>
        <v>0</v>
      </c>
      <c r="N90" s="13" t="n">
        <f aca="false">-IF($A90-(Premissas!$B$60)&gt;=1,INDEX($H$5:$H$94,$A90-(Premissas!$B$60)),0)*(Premissas!$B$59*Unitário!$B$22+Premissas!$B$31)</f>
        <v>-0</v>
      </c>
      <c r="O90" s="13" t="n">
        <f aca="false">IF($A90-(Premissas!$B$54+Premissas!$B$57)&gt;=1,INDEX($H$5:$H$94,$A90-(Premissas!$B$54+Premissas!$B$57)),0)*Premissas!$B$27*(-Premissas!$B$52-Premissas!$B$41+Unitário!$B$27+(1-Premissas!$B$62)*Premissas!$B$31+Premissas!$B$59*Unitário!$B$22)</f>
        <v>-0</v>
      </c>
      <c r="P90" s="13" t="n">
        <f aca="false">-Premissas!$B$42*(IF($A90-(Premissas!$B$54+Premissas!$B$55)&gt;=1,INDEX($G$5:$G$94,$A90-(Premissas!$B$54+Premissas!$B$55)),0)*Unitário!$B$21*Premissas!$B$51+IF($A90-(Premissas!$B$56)&gt;=1,INDEX($H$5:$H$94,$A90-(Premissas!$B$56)),0)*(1-Premissas!$B$27)*Premissas!$B$52)</f>
        <v>-0</v>
      </c>
      <c r="Q90" s="13" t="n">
        <f aca="false">-IF(AND(DAY(B90+Premissas!$B$15)=Premissas!$B$16,B90+Premissas!$B$15&gt;=DATE(YEAR(Premissas!$B$11),MONTH(Premissas!$B$11)+1,Premissas!$B$16)),Premissas!$B$43,0)-IF(OR(E90&lt;0,F90&lt;0,IF(AND(DAY(B90+Premissas!$B$15)=Premissas!$B$16,B90+Premissas!$B$15&gt;=DATE(YEAR(Premissas!$B$11),MONTH(Premissas!$B$11)+1,Premissas!$B$16)),Premissas!$B$43,0)&gt;0),Premissas!$B$67*Premissas!$B$68,0)</f>
        <v>-0</v>
      </c>
      <c r="R90" s="13" t="n">
        <f aca="false">E90+F90+SUM(I90:Q90)</f>
        <v>0</v>
      </c>
      <c r="S90" s="13" t="n">
        <f aca="false">S89+R90</f>
        <v>1374.73938121533</v>
      </c>
      <c r="T90" s="16" t="n">
        <f aca="false">IF(AND($A90&gt;$B$100,S90&gt;=0),1,0)</f>
        <v>1</v>
      </c>
      <c r="U90" s="13" t="n">
        <f aca="false">S90-SUM($E$5:E90)-(1+Premissas!$B$17)*SUM($C$5:C90)</f>
        <v>1374.73938121533</v>
      </c>
      <c r="V90" s="13" t="n">
        <f aca="false">(G90+H90)*Premissas!$B$21</f>
        <v>0</v>
      </c>
      <c r="W90" s="16" t="n">
        <f aca="false">IF(V90&gt;0,DATE(YEAR(B90),MONTH(B90)+1,Premissas!$B$16)-Premissas!$B$11+1-Premissas!$B$15,0)</f>
        <v>0</v>
      </c>
      <c r="X90" s="13" t="n">
        <f aca="false">X89-Y89+C90*(1+Premissas!$B$17)</f>
        <v>0</v>
      </c>
      <c r="Y90" s="13" t="n">
        <f aca="false">IF(OR(X90&gt;=Premissas!$B$13,B90=DATE(YEAR(B90),MONTH(B90)+1,0)),X90,0)</f>
        <v>0</v>
      </c>
      <c r="Z90" s="13" t="n">
        <f aca="false">Z89-AA89+C90/Premissas!$B$18*Premissas!$B$20</f>
        <v>0</v>
      </c>
      <c r="AA90" s="13" t="n">
        <f aca="false">IF(OR(Z90&gt;=Premissas!$B$14,B90=DATE(YEAR(B90),MONTH(B90)+1,0)),Z90,0)</f>
        <v>0</v>
      </c>
      <c r="AB90" s="16" t="n">
        <f aca="false">IF(AA90&gt;0,IF(DAY(B90)&lt;=Premissas!$B$12,DATE(YEAR(B90),MONTH(B90),Premissas!$B$16),DATE(YEAR(B90),MONTH(B90)+1,Premissas!$B$16))-Premissas!$B$11+1-Premissas!$B$15,0)</f>
        <v>0</v>
      </c>
    </row>
    <row r="91" customFormat="false" ht="15" hidden="false" customHeight="true" outlineLevel="0" collapsed="false">
      <c r="A91" s="16" t="n">
        <v>87</v>
      </c>
      <c r="B91" s="31" t="n">
        <f aca="false">Premissas!$B$11+A91-1</f>
        <v>46404</v>
      </c>
      <c r="C91" s="13" t="n">
        <f aca="false">IF(A91&lt;=Premissas!$B$7,Premissas!$B$6/Premissas!$B$7,IF(A91&lt;=Premissas!$B$7+Premissas!$B$8,0,IF(A91&lt;=Premissas!$B$7+Premissas!$B$8+Premissas!$B$10,Premissas!$B$9/Premissas!$B$10,0)))</f>
        <v>0</v>
      </c>
      <c r="D91" s="16" t="n">
        <f aca="false">IF(Y91&gt;0,IF(DAY(B91)&lt;=Premissas!$B$12,DATE(YEAR(B91),MONTH(B91),Premissas!$B$16),DATE(YEAR(B91),MONTH(B91)+1,Premissas!$B$16))-Premissas!$B$11+1-Premissas!$B$15,0)</f>
        <v>0</v>
      </c>
      <c r="E91" s="13" t="n">
        <f aca="false">-SUMIF($D$5:$D$94,A91,$Y$5:$Y$94)</f>
        <v>-0</v>
      </c>
      <c r="F91" s="13" t="n">
        <f aca="false">-SUMIF($W$5:$W$94,A91,$V$5:$V$94)-SUMIF($AB$5:$AB$94,A91,$AA$5:$AA$94)</f>
        <v>-0</v>
      </c>
      <c r="G91" s="30" t="n">
        <f aca="false">C91/Premissas!$B$18*Premissas!$B$19*Premissas!$B$23</f>
        <v>0</v>
      </c>
      <c r="H91" s="30" t="n">
        <f aca="false">C91/Premissas!$B$18*Premissas!$B$19*Premissas!$B$24</f>
        <v>0</v>
      </c>
      <c r="I91" s="13" t="n">
        <f aca="false">-IF($A91-(Premissas!$B$60)&gt;=1,INDEX($G$5:$G$94,$A91-(Premissas!$B$60)),0)*(Premissas!$B$59*Unitário!$B$22+(Premissas!$B$61*Unitário!$B$24+Premissas!$B$63*Unitário!$B$25))</f>
        <v>-0</v>
      </c>
      <c r="J91" s="13" t="n">
        <f aca="false">IF($A91-(Premissas!$B$54)&gt;=1,INDEX($G$5:$G$94,$A91-(Premissas!$B$54)),0)*Premissas!$B$26*((Premissas!$B$59*Unitário!$B$22+(Premissas!$B$61*Unitário!$B$24+Premissas!$B$63*Unitário!$B$25))-Premissas!$B$39)</f>
        <v>0</v>
      </c>
      <c r="K91" s="13" t="n">
        <f aca="false">IF($A91-(Premissas!$B$54+Premissas!$B$57)&gt;=1,INDEX($G$5:$G$94,$A91-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91" s="13" t="n">
        <f aca="false">IF($A91-(Premissas!$B$54+Premissas!$B$55)&gt;=1,INDEX($G$5:$G$94,$A91-(Premissas!$B$54+Premissas!$B$55)),0)*Unitário!$B$21*(Premissas!$B$51-(1-Premissas!$B$61)*Unitário!$B$24-(1-Premissas!$B$63)*Unitário!$B$25-(1-Premissas!$B$59)*Unitário!$B$22)</f>
        <v>0</v>
      </c>
      <c r="M91" s="13" t="n">
        <f aca="false">IF($A91-(Premissas!$B$56)&gt;=1,INDEX($H$5:$H$94,$A91-(Premissas!$B$56)),0)*(Premissas!$B$52-Unitário!$B$27)</f>
        <v>0</v>
      </c>
      <c r="N91" s="13" t="n">
        <f aca="false">-IF($A91-(Premissas!$B$60)&gt;=1,INDEX($H$5:$H$94,$A91-(Premissas!$B$60)),0)*(Premissas!$B$59*Unitário!$B$22+Premissas!$B$31)</f>
        <v>-0</v>
      </c>
      <c r="O91" s="13" t="n">
        <f aca="false">IF($A91-(Premissas!$B$54+Premissas!$B$57)&gt;=1,INDEX($H$5:$H$94,$A91-(Premissas!$B$54+Premissas!$B$57)),0)*Premissas!$B$27*(-Premissas!$B$52-Premissas!$B$41+Unitário!$B$27+(1-Premissas!$B$62)*Premissas!$B$31+Premissas!$B$59*Unitário!$B$22)</f>
        <v>-0</v>
      </c>
      <c r="P91" s="13" t="n">
        <f aca="false">-Premissas!$B$42*(IF($A91-(Premissas!$B$54+Premissas!$B$55)&gt;=1,INDEX($G$5:$G$94,$A91-(Premissas!$B$54+Premissas!$B$55)),0)*Unitário!$B$21*Premissas!$B$51+IF($A91-(Premissas!$B$56)&gt;=1,INDEX($H$5:$H$94,$A91-(Premissas!$B$56)),0)*(1-Premissas!$B$27)*Premissas!$B$52)</f>
        <v>-0</v>
      </c>
      <c r="Q91" s="13" t="n">
        <f aca="false">-IF(AND(DAY(B91+Premissas!$B$15)=Premissas!$B$16,B91+Premissas!$B$15&gt;=DATE(YEAR(Premissas!$B$11),MONTH(Premissas!$B$11)+1,Premissas!$B$16)),Premissas!$B$43,0)-IF(OR(E91&lt;0,F91&lt;0,IF(AND(DAY(B91+Premissas!$B$15)=Premissas!$B$16,B91+Premissas!$B$15&gt;=DATE(YEAR(Premissas!$B$11),MONTH(Premissas!$B$11)+1,Premissas!$B$16)),Premissas!$B$43,0)&gt;0),Premissas!$B$67*Premissas!$B$68,0)</f>
        <v>-0</v>
      </c>
      <c r="R91" s="13" t="n">
        <f aca="false">E91+F91+SUM(I91:Q91)</f>
        <v>0</v>
      </c>
      <c r="S91" s="13" t="n">
        <f aca="false">S90+R91</f>
        <v>1374.73938121533</v>
      </c>
      <c r="T91" s="16" t="n">
        <f aca="false">IF(AND($A91&gt;$B$100,S91&gt;=0),1,0)</f>
        <v>1</v>
      </c>
      <c r="U91" s="13" t="n">
        <f aca="false">S91-SUM($E$5:E91)-(1+Premissas!$B$17)*SUM($C$5:C91)</f>
        <v>1374.73938121533</v>
      </c>
      <c r="V91" s="13" t="n">
        <f aca="false">(G91+H91)*Premissas!$B$21</f>
        <v>0</v>
      </c>
      <c r="W91" s="16" t="n">
        <f aca="false">IF(V91&gt;0,DATE(YEAR(B91),MONTH(B91)+1,Premissas!$B$16)-Premissas!$B$11+1-Premissas!$B$15,0)</f>
        <v>0</v>
      </c>
      <c r="X91" s="13" t="n">
        <f aca="false">X90-Y90+C91*(1+Premissas!$B$17)</f>
        <v>0</v>
      </c>
      <c r="Y91" s="13" t="n">
        <f aca="false">IF(OR(X91&gt;=Premissas!$B$13,B91=DATE(YEAR(B91),MONTH(B91)+1,0)),X91,0)</f>
        <v>0</v>
      </c>
      <c r="Z91" s="13" t="n">
        <f aca="false">Z90-AA90+C91/Premissas!$B$18*Premissas!$B$20</f>
        <v>0</v>
      </c>
      <c r="AA91" s="13" t="n">
        <f aca="false">IF(OR(Z91&gt;=Premissas!$B$14,B91=DATE(YEAR(B91),MONTH(B91)+1,0)),Z91,0)</f>
        <v>0</v>
      </c>
      <c r="AB91" s="16" t="n">
        <f aca="false">IF(AA91&gt;0,IF(DAY(B91)&lt;=Premissas!$B$12,DATE(YEAR(B91),MONTH(B91),Premissas!$B$16),DATE(YEAR(B91),MONTH(B91)+1,Premissas!$B$16))-Premissas!$B$11+1-Premissas!$B$15,0)</f>
        <v>0</v>
      </c>
    </row>
    <row r="92" customFormat="false" ht="15" hidden="false" customHeight="true" outlineLevel="0" collapsed="false">
      <c r="A92" s="16" t="n">
        <v>88</v>
      </c>
      <c r="B92" s="31" t="n">
        <f aca="false">Premissas!$B$11+A92-1</f>
        <v>46405</v>
      </c>
      <c r="C92" s="13" t="n">
        <f aca="false">IF(A92&lt;=Premissas!$B$7,Premissas!$B$6/Premissas!$B$7,IF(A92&lt;=Premissas!$B$7+Premissas!$B$8,0,IF(A92&lt;=Premissas!$B$7+Premissas!$B$8+Premissas!$B$10,Premissas!$B$9/Premissas!$B$10,0)))</f>
        <v>0</v>
      </c>
      <c r="D92" s="16" t="n">
        <f aca="false">IF(Y92&gt;0,IF(DAY(B92)&lt;=Premissas!$B$12,DATE(YEAR(B92),MONTH(B92),Premissas!$B$16),DATE(YEAR(B92),MONTH(B92)+1,Premissas!$B$16))-Premissas!$B$11+1-Premissas!$B$15,0)</f>
        <v>0</v>
      </c>
      <c r="E92" s="13" t="n">
        <f aca="false">-SUMIF($D$5:$D$94,A92,$Y$5:$Y$94)</f>
        <v>-0</v>
      </c>
      <c r="F92" s="13" t="n">
        <f aca="false">-SUMIF($W$5:$W$94,A92,$V$5:$V$94)-SUMIF($AB$5:$AB$94,A92,$AA$5:$AA$94)</f>
        <v>-0</v>
      </c>
      <c r="G92" s="30" t="n">
        <f aca="false">C92/Premissas!$B$18*Premissas!$B$19*Premissas!$B$23</f>
        <v>0</v>
      </c>
      <c r="H92" s="30" t="n">
        <f aca="false">C92/Premissas!$B$18*Premissas!$B$19*Premissas!$B$24</f>
        <v>0</v>
      </c>
      <c r="I92" s="13" t="n">
        <f aca="false">-IF($A92-(Premissas!$B$60)&gt;=1,INDEX($G$5:$G$94,$A92-(Premissas!$B$60)),0)*(Premissas!$B$59*Unitário!$B$22+(Premissas!$B$61*Unitário!$B$24+Premissas!$B$63*Unitário!$B$25))</f>
        <v>-0</v>
      </c>
      <c r="J92" s="13" t="n">
        <f aca="false">IF($A92-(Premissas!$B$54)&gt;=1,INDEX($G$5:$G$94,$A92-(Premissas!$B$54)),0)*Premissas!$B$26*((Premissas!$B$59*Unitário!$B$22+(Premissas!$B$61*Unitário!$B$24+Premissas!$B$63*Unitário!$B$25))-Premissas!$B$39)</f>
        <v>0</v>
      </c>
      <c r="K92" s="13" t="n">
        <f aca="false">IF($A92-(Premissas!$B$54+Premissas!$B$57)&gt;=1,INDEX($G$5:$G$94,$A92-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92" s="13" t="n">
        <f aca="false">IF($A92-(Premissas!$B$54+Premissas!$B$55)&gt;=1,INDEX($G$5:$G$94,$A92-(Premissas!$B$54+Premissas!$B$55)),0)*Unitário!$B$21*(Premissas!$B$51-(1-Premissas!$B$61)*Unitário!$B$24-(1-Premissas!$B$63)*Unitário!$B$25-(1-Premissas!$B$59)*Unitário!$B$22)</f>
        <v>0</v>
      </c>
      <c r="M92" s="13" t="n">
        <f aca="false">IF($A92-(Premissas!$B$56)&gt;=1,INDEX($H$5:$H$94,$A92-(Premissas!$B$56)),0)*(Premissas!$B$52-Unitário!$B$27)</f>
        <v>0</v>
      </c>
      <c r="N92" s="13" t="n">
        <f aca="false">-IF($A92-(Premissas!$B$60)&gt;=1,INDEX($H$5:$H$94,$A92-(Premissas!$B$60)),0)*(Premissas!$B$59*Unitário!$B$22+Premissas!$B$31)</f>
        <v>-0</v>
      </c>
      <c r="O92" s="13" t="n">
        <f aca="false">IF($A92-(Premissas!$B$54+Premissas!$B$57)&gt;=1,INDEX($H$5:$H$94,$A92-(Premissas!$B$54+Premissas!$B$57)),0)*Premissas!$B$27*(-Premissas!$B$52-Premissas!$B$41+Unitário!$B$27+(1-Premissas!$B$62)*Premissas!$B$31+Premissas!$B$59*Unitário!$B$22)</f>
        <v>-0</v>
      </c>
      <c r="P92" s="13" t="n">
        <f aca="false">-Premissas!$B$42*(IF($A92-(Premissas!$B$54+Premissas!$B$55)&gt;=1,INDEX($G$5:$G$94,$A92-(Premissas!$B$54+Premissas!$B$55)),0)*Unitário!$B$21*Premissas!$B$51+IF($A92-(Premissas!$B$56)&gt;=1,INDEX($H$5:$H$94,$A92-(Premissas!$B$56)),0)*(1-Premissas!$B$27)*Premissas!$B$52)</f>
        <v>-0</v>
      </c>
      <c r="Q92" s="13" t="n">
        <f aca="false">-IF(AND(DAY(B92+Premissas!$B$15)=Premissas!$B$16,B92+Premissas!$B$15&gt;=DATE(YEAR(Premissas!$B$11),MONTH(Premissas!$B$11)+1,Premissas!$B$16)),Premissas!$B$43,0)-IF(OR(E92&lt;0,F92&lt;0,IF(AND(DAY(B92+Premissas!$B$15)=Premissas!$B$16,B92+Premissas!$B$15&gt;=DATE(YEAR(Premissas!$B$11),MONTH(Premissas!$B$11)+1,Premissas!$B$16)),Premissas!$B$43,0)&gt;0),Premissas!$B$67*Premissas!$B$68,0)</f>
        <v>-0</v>
      </c>
      <c r="R92" s="13" t="n">
        <f aca="false">E92+F92+SUM(I92:Q92)</f>
        <v>0</v>
      </c>
      <c r="S92" s="13" t="n">
        <f aca="false">S91+R92</f>
        <v>1374.73938121533</v>
      </c>
      <c r="T92" s="16" t="n">
        <f aca="false">IF(AND($A92&gt;$B$100,S92&gt;=0),1,0)</f>
        <v>1</v>
      </c>
      <c r="U92" s="13" t="n">
        <f aca="false">S92-SUM($E$5:E92)-(1+Premissas!$B$17)*SUM($C$5:C92)</f>
        <v>1374.73938121533</v>
      </c>
      <c r="V92" s="13" t="n">
        <f aca="false">(G92+H92)*Premissas!$B$21</f>
        <v>0</v>
      </c>
      <c r="W92" s="16" t="n">
        <f aca="false">IF(V92&gt;0,DATE(YEAR(B92),MONTH(B92)+1,Premissas!$B$16)-Premissas!$B$11+1-Premissas!$B$15,0)</f>
        <v>0</v>
      </c>
      <c r="X92" s="13" t="n">
        <f aca="false">X91-Y91+C92*(1+Premissas!$B$17)</f>
        <v>0</v>
      </c>
      <c r="Y92" s="13" t="n">
        <f aca="false">IF(OR(X92&gt;=Premissas!$B$13,B92=DATE(YEAR(B92),MONTH(B92)+1,0)),X92,0)</f>
        <v>0</v>
      </c>
      <c r="Z92" s="13" t="n">
        <f aca="false">Z91-AA91+C92/Premissas!$B$18*Premissas!$B$20</f>
        <v>0</v>
      </c>
      <c r="AA92" s="13" t="n">
        <f aca="false">IF(OR(Z92&gt;=Premissas!$B$14,B92=DATE(YEAR(B92),MONTH(B92)+1,0)),Z92,0)</f>
        <v>0</v>
      </c>
      <c r="AB92" s="16" t="n">
        <f aca="false">IF(AA92&gt;0,IF(DAY(B92)&lt;=Premissas!$B$12,DATE(YEAR(B92),MONTH(B92),Premissas!$B$16),DATE(YEAR(B92),MONTH(B92)+1,Premissas!$B$16))-Premissas!$B$11+1-Premissas!$B$15,0)</f>
        <v>0</v>
      </c>
    </row>
    <row r="93" customFormat="false" ht="15" hidden="false" customHeight="true" outlineLevel="0" collapsed="false">
      <c r="A93" s="16" t="n">
        <v>89</v>
      </c>
      <c r="B93" s="31" t="n">
        <f aca="false">Premissas!$B$11+A93-1</f>
        <v>46406</v>
      </c>
      <c r="C93" s="13" t="n">
        <f aca="false">IF(A93&lt;=Premissas!$B$7,Premissas!$B$6/Premissas!$B$7,IF(A93&lt;=Premissas!$B$7+Premissas!$B$8,0,IF(A93&lt;=Premissas!$B$7+Premissas!$B$8+Premissas!$B$10,Premissas!$B$9/Premissas!$B$10,0)))</f>
        <v>0</v>
      </c>
      <c r="D93" s="16" t="n">
        <f aca="false">IF(Y93&gt;0,IF(DAY(B93)&lt;=Premissas!$B$12,DATE(YEAR(B93),MONTH(B93),Premissas!$B$16),DATE(YEAR(B93),MONTH(B93)+1,Premissas!$B$16))-Premissas!$B$11+1-Premissas!$B$15,0)</f>
        <v>0</v>
      </c>
      <c r="E93" s="13" t="n">
        <f aca="false">-SUMIF($D$5:$D$94,A93,$Y$5:$Y$94)</f>
        <v>-0</v>
      </c>
      <c r="F93" s="13" t="n">
        <f aca="false">-SUMIF($W$5:$W$94,A93,$V$5:$V$94)-SUMIF($AB$5:$AB$94,A93,$AA$5:$AA$94)</f>
        <v>-0</v>
      </c>
      <c r="G93" s="30" t="n">
        <f aca="false">C93/Premissas!$B$18*Premissas!$B$19*Premissas!$B$23</f>
        <v>0</v>
      </c>
      <c r="H93" s="30" t="n">
        <f aca="false">C93/Premissas!$B$18*Premissas!$B$19*Premissas!$B$24</f>
        <v>0</v>
      </c>
      <c r="I93" s="13" t="n">
        <f aca="false">-IF($A93-(Premissas!$B$60)&gt;=1,INDEX($G$5:$G$94,$A93-(Premissas!$B$60)),0)*(Premissas!$B$59*Unitário!$B$22+(Premissas!$B$61*Unitário!$B$24+Premissas!$B$63*Unitário!$B$25))</f>
        <v>-0</v>
      </c>
      <c r="J93" s="13" t="n">
        <f aca="false">IF($A93-(Premissas!$B$54)&gt;=1,INDEX($G$5:$G$94,$A93-(Premissas!$B$54)),0)*Premissas!$B$26*((Premissas!$B$59*Unitário!$B$22+(Premissas!$B$61*Unitário!$B$24+Premissas!$B$63*Unitário!$B$25))-Premissas!$B$39)</f>
        <v>0</v>
      </c>
      <c r="K93" s="13" t="n">
        <f aca="false">IF($A93-(Premissas!$B$54+Premissas!$B$57)&gt;=1,INDEX($G$5:$G$94,$A93-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93" s="13" t="n">
        <f aca="false">IF($A93-(Premissas!$B$54+Premissas!$B$55)&gt;=1,INDEX($G$5:$G$94,$A93-(Premissas!$B$54+Premissas!$B$55)),0)*Unitário!$B$21*(Premissas!$B$51-(1-Premissas!$B$61)*Unitário!$B$24-(1-Premissas!$B$63)*Unitário!$B$25-(1-Premissas!$B$59)*Unitário!$B$22)</f>
        <v>0</v>
      </c>
      <c r="M93" s="13" t="n">
        <f aca="false">IF($A93-(Premissas!$B$56)&gt;=1,INDEX($H$5:$H$94,$A93-(Premissas!$B$56)),0)*(Premissas!$B$52-Unitário!$B$27)</f>
        <v>0</v>
      </c>
      <c r="N93" s="13" t="n">
        <f aca="false">-IF($A93-(Premissas!$B$60)&gt;=1,INDEX($H$5:$H$94,$A93-(Premissas!$B$60)),0)*(Premissas!$B$59*Unitário!$B$22+Premissas!$B$31)</f>
        <v>-0</v>
      </c>
      <c r="O93" s="13" t="n">
        <f aca="false">IF($A93-(Premissas!$B$54+Premissas!$B$57)&gt;=1,INDEX($H$5:$H$94,$A93-(Premissas!$B$54+Premissas!$B$57)),0)*Premissas!$B$27*(-Premissas!$B$52-Premissas!$B$41+Unitário!$B$27+(1-Premissas!$B$62)*Premissas!$B$31+Premissas!$B$59*Unitário!$B$22)</f>
        <v>-0</v>
      </c>
      <c r="P93" s="13" t="n">
        <f aca="false">-Premissas!$B$42*(IF($A93-(Premissas!$B$54+Premissas!$B$55)&gt;=1,INDEX($G$5:$G$94,$A93-(Premissas!$B$54+Premissas!$B$55)),0)*Unitário!$B$21*Premissas!$B$51+IF($A93-(Premissas!$B$56)&gt;=1,INDEX($H$5:$H$94,$A93-(Premissas!$B$56)),0)*(1-Premissas!$B$27)*Premissas!$B$52)</f>
        <v>-0</v>
      </c>
      <c r="Q93" s="13" t="n">
        <f aca="false">-IF(AND(DAY(B93+Premissas!$B$15)=Premissas!$B$16,B93+Premissas!$B$15&gt;=DATE(YEAR(Premissas!$B$11),MONTH(Premissas!$B$11)+1,Premissas!$B$16)),Premissas!$B$43,0)-IF(OR(E93&lt;0,F93&lt;0,IF(AND(DAY(B93+Premissas!$B$15)=Premissas!$B$16,B93+Premissas!$B$15&gt;=DATE(YEAR(Premissas!$B$11),MONTH(Premissas!$B$11)+1,Premissas!$B$16)),Premissas!$B$43,0)&gt;0),Premissas!$B$67*Premissas!$B$68,0)</f>
        <v>-0</v>
      </c>
      <c r="R93" s="13" t="n">
        <f aca="false">E93+F93+SUM(I93:Q93)</f>
        <v>0</v>
      </c>
      <c r="S93" s="13" t="n">
        <f aca="false">S92+R93</f>
        <v>1374.73938121533</v>
      </c>
      <c r="T93" s="16" t="n">
        <f aca="false">IF(AND($A93&gt;$B$100,S93&gt;=0),1,0)</f>
        <v>1</v>
      </c>
      <c r="U93" s="13" t="n">
        <f aca="false">S93-SUM($E$5:E93)-(1+Premissas!$B$17)*SUM($C$5:C93)</f>
        <v>1374.73938121533</v>
      </c>
      <c r="V93" s="13" t="n">
        <f aca="false">(G93+H93)*Premissas!$B$21</f>
        <v>0</v>
      </c>
      <c r="W93" s="16" t="n">
        <f aca="false">IF(V93&gt;0,DATE(YEAR(B93),MONTH(B93)+1,Premissas!$B$16)-Premissas!$B$11+1-Premissas!$B$15,0)</f>
        <v>0</v>
      </c>
      <c r="X93" s="13" t="n">
        <f aca="false">X92-Y92+C93*(1+Premissas!$B$17)</f>
        <v>0</v>
      </c>
      <c r="Y93" s="13" t="n">
        <f aca="false">IF(OR(X93&gt;=Premissas!$B$13,B93=DATE(YEAR(B93),MONTH(B93)+1,0)),X93,0)</f>
        <v>0</v>
      </c>
      <c r="Z93" s="13" t="n">
        <f aca="false">Z92-AA92+C93/Premissas!$B$18*Premissas!$B$20</f>
        <v>0</v>
      </c>
      <c r="AA93" s="13" t="n">
        <f aca="false">IF(OR(Z93&gt;=Premissas!$B$14,B93=DATE(YEAR(B93),MONTH(B93)+1,0)),Z93,0)</f>
        <v>0</v>
      </c>
      <c r="AB93" s="16" t="n">
        <f aca="false">IF(AA93&gt;0,IF(DAY(B93)&lt;=Premissas!$B$12,DATE(YEAR(B93),MONTH(B93),Premissas!$B$16),DATE(YEAR(B93),MONTH(B93)+1,Premissas!$B$16))-Premissas!$B$11+1-Premissas!$B$15,0)</f>
        <v>0</v>
      </c>
    </row>
    <row r="94" customFormat="false" ht="15" hidden="false" customHeight="true" outlineLevel="0" collapsed="false">
      <c r="A94" s="16" t="n">
        <v>90</v>
      </c>
      <c r="B94" s="31" t="n">
        <f aca="false">Premissas!$B$11+A94-1</f>
        <v>46407</v>
      </c>
      <c r="C94" s="13" t="n">
        <f aca="false">IF(A94&lt;=Premissas!$B$7,Premissas!$B$6/Premissas!$B$7,IF(A94&lt;=Premissas!$B$7+Premissas!$B$8,0,IF(A94&lt;=Premissas!$B$7+Premissas!$B$8+Premissas!$B$10,Premissas!$B$9/Premissas!$B$10,0)))</f>
        <v>0</v>
      </c>
      <c r="D94" s="16" t="n">
        <f aca="false">IF(Y94&gt;0,IF(DAY(B94)&lt;=Premissas!$B$12,DATE(YEAR(B94),MONTH(B94),Premissas!$B$16),DATE(YEAR(B94),MONTH(B94)+1,Premissas!$B$16))-Premissas!$B$11+1-Premissas!$B$15,0)</f>
        <v>0</v>
      </c>
      <c r="E94" s="13" t="n">
        <f aca="false">-SUMIF($D$5:$D$94,A94,$Y$5:$Y$94)</f>
        <v>-0</v>
      </c>
      <c r="F94" s="13" t="n">
        <f aca="false">-SUMIF($W$5:$W$94,A94,$V$5:$V$94)-SUMIF($AB$5:$AB$94,A94,$AA$5:$AA$94)</f>
        <v>-0</v>
      </c>
      <c r="G94" s="30" t="n">
        <f aca="false">C94/Premissas!$B$18*Premissas!$B$19*Premissas!$B$23</f>
        <v>0</v>
      </c>
      <c r="H94" s="30" t="n">
        <f aca="false">C94/Premissas!$B$18*Premissas!$B$19*Premissas!$B$24</f>
        <v>0</v>
      </c>
      <c r="I94" s="13" t="n">
        <f aca="false">-IF($A94-(Premissas!$B$60)&gt;=1,INDEX($G$5:$G$94,$A94-(Premissas!$B$60)),0)*(Premissas!$B$59*Unitário!$B$22+(Premissas!$B$61*Unitário!$B$24+Premissas!$B$63*Unitário!$B$25))</f>
        <v>-0</v>
      </c>
      <c r="J94" s="13" t="n">
        <f aca="false">IF($A94-(Premissas!$B$54)&gt;=1,INDEX($G$5:$G$94,$A94-(Premissas!$B$54)),0)*Premissas!$B$26*((Premissas!$B$59*Unitário!$B$22+(Premissas!$B$61*Unitário!$B$24+Premissas!$B$63*Unitário!$B$25))-Premissas!$B$39)</f>
        <v>0</v>
      </c>
      <c r="K94" s="13" t="n">
        <f aca="false">IF($A94-(Premissas!$B$54+Premissas!$B$57)&gt;=1,INDEX($G$5:$G$94,$A94-(Premissas!$B$54+Premissas!$B$57)),0)*(1-Premissas!$B$26)*Premissas!$B$27*(Premissas!$B$59*Unitário!$B$22+(1-Premissas!$B$62)*(Premissas!$B$61*Unitário!$B$24+Premissas!$B$63*Unitário!$B$25)-Premissas!$B$62*((1-Premissas!$B$61)*Unitário!$B$24+(1-Premissas!$B$63)*Unitário!$B$25)-Premissas!$B$40)</f>
        <v>0</v>
      </c>
      <c r="L94" s="13" t="n">
        <f aca="false">IF($A94-(Premissas!$B$54+Premissas!$B$55)&gt;=1,INDEX($G$5:$G$94,$A94-(Premissas!$B$54+Premissas!$B$55)),0)*Unitário!$B$21*(Premissas!$B$51-(1-Premissas!$B$61)*Unitário!$B$24-(1-Premissas!$B$63)*Unitário!$B$25-(1-Premissas!$B$59)*Unitário!$B$22)</f>
        <v>0</v>
      </c>
      <c r="M94" s="13" t="n">
        <f aca="false">IF($A94-(Premissas!$B$56)&gt;=1,INDEX($H$5:$H$94,$A94-(Premissas!$B$56)),0)*(Premissas!$B$52-Unitário!$B$27)</f>
        <v>0</v>
      </c>
      <c r="N94" s="13" t="n">
        <f aca="false">-IF($A94-(Premissas!$B$60)&gt;=1,INDEX($H$5:$H$94,$A94-(Premissas!$B$60)),0)*(Premissas!$B$59*Unitário!$B$22+Premissas!$B$31)</f>
        <v>-0</v>
      </c>
      <c r="O94" s="13" t="n">
        <f aca="false">IF($A94-(Premissas!$B$54+Premissas!$B$57)&gt;=1,INDEX($H$5:$H$94,$A94-(Premissas!$B$54+Premissas!$B$57)),0)*Premissas!$B$27*(-Premissas!$B$52-Premissas!$B$41+Unitário!$B$27+(1-Premissas!$B$62)*Premissas!$B$31+Premissas!$B$59*Unitário!$B$22)</f>
        <v>-0</v>
      </c>
      <c r="P94" s="13" t="n">
        <f aca="false">-Premissas!$B$42*(IF($A94-(Premissas!$B$54+Premissas!$B$55)&gt;=1,INDEX($G$5:$G$94,$A94-(Premissas!$B$54+Premissas!$B$55)),0)*Unitário!$B$21*Premissas!$B$51+IF($A94-(Premissas!$B$56)&gt;=1,INDEX($H$5:$H$94,$A94-(Premissas!$B$56)),0)*(1-Premissas!$B$27)*Premissas!$B$52)</f>
        <v>-0</v>
      </c>
      <c r="Q94" s="13" t="n">
        <f aca="false">-IF(AND(DAY(B94+Premissas!$B$15)=Premissas!$B$16,B94+Premissas!$B$15&gt;=DATE(YEAR(Premissas!$B$11),MONTH(Premissas!$B$11)+1,Premissas!$B$16)),Premissas!$B$43,0)-IF(OR(E94&lt;0,F94&lt;0,IF(AND(DAY(B94+Premissas!$B$15)=Premissas!$B$16,B94+Premissas!$B$15&gt;=DATE(YEAR(Premissas!$B$11),MONTH(Premissas!$B$11)+1,Premissas!$B$16)),Premissas!$B$43,0)&gt;0),Premissas!$B$67*Premissas!$B$68,0)</f>
        <v>-0</v>
      </c>
      <c r="R94" s="13" t="n">
        <f aca="false">E94+F94+SUM(I94:Q94)</f>
        <v>0</v>
      </c>
      <c r="S94" s="13" t="n">
        <f aca="false">S93+R94</f>
        <v>1374.73938121533</v>
      </c>
      <c r="T94" s="16" t="n">
        <f aca="false">IF(AND($A94&gt;$B$100,S94&gt;=0),1,0)</f>
        <v>1</v>
      </c>
      <c r="U94" s="13" t="n">
        <f aca="false">S94-SUM($E$5:E94)-(1+Premissas!$B$17)*SUM($C$5:C94)</f>
        <v>1374.73938121533</v>
      </c>
      <c r="V94" s="13" t="n">
        <f aca="false">(G94+H94)*Premissas!$B$21</f>
        <v>0</v>
      </c>
      <c r="W94" s="16" t="n">
        <f aca="false">IF(V94&gt;0,DATE(YEAR(B94),MONTH(B94)+1,Premissas!$B$16)-Premissas!$B$11+1-Premissas!$B$15,0)</f>
        <v>0</v>
      </c>
      <c r="X94" s="13" t="n">
        <f aca="false">X93-Y93+C94*(1+Premissas!$B$17)</f>
        <v>0</v>
      </c>
      <c r="Y94" s="13" t="n">
        <f aca="false">IF(OR(X94&gt;=Premissas!$B$13,B94=DATE(YEAR(B94),MONTH(B94)+1,0)),X94,0)</f>
        <v>0</v>
      </c>
      <c r="Z94" s="13" t="n">
        <f aca="false">Z93-AA93+C94/Premissas!$B$18*Premissas!$B$20</f>
        <v>0</v>
      </c>
      <c r="AA94" s="13" t="n">
        <f aca="false">IF(OR(Z94&gt;=Premissas!$B$14,B94=DATE(YEAR(B94),MONTH(B94)+1,0)),Z94,0)</f>
        <v>0</v>
      </c>
      <c r="AB94" s="16" t="n">
        <f aca="false">IF(AA94&gt;0,IF(DAY(B94)&lt;=Premissas!$B$12,DATE(YEAR(B94),MONTH(B94),Premissas!$B$16),DATE(YEAR(B94),MONTH(B94)+1,Premissas!$B$16))-Premissas!$B$11+1-Premissas!$B$15,0)</f>
        <v>0</v>
      </c>
    </row>
    <row r="95" customFormat="false" ht="15" hidden="false" customHeight="true" outlineLevel="0" collapsed="false">
      <c r="A95" s="14" t="s">
        <v>250</v>
      </c>
      <c r="C95" s="15" t="n">
        <f aca="false">SUM(C5:C94)</f>
        <v>700</v>
      </c>
      <c r="E95" s="15" t="n">
        <f aca="false">SUM(E5:E94)</f>
        <v>-796.81</v>
      </c>
      <c r="F95" s="15" t="n">
        <f aca="false">SUM(F5:F94)</f>
        <v>-127.866666666667</v>
      </c>
      <c r="G95" s="32" t="n">
        <f aca="false">SUM(G5:G94)</f>
        <v>32.6666666666667</v>
      </c>
      <c r="H95" s="32" t="n">
        <f aca="false">SUM(H5:H94)</f>
        <v>14</v>
      </c>
      <c r="I95" s="15" t="n">
        <f aca="false">SUM(I5:I94)</f>
        <v>-2048.729494</v>
      </c>
      <c r="J95" s="15" t="n">
        <f aca="false">SUM(J5:J94)</f>
        <v>292.80621398</v>
      </c>
      <c r="K95" s="15" t="n">
        <f aca="false">SUM(K5:K94)</f>
        <v>88.704548002</v>
      </c>
      <c r="L95" s="15" t="n">
        <f aca="false">SUM(L5:L94)</f>
        <v>3169.8198</v>
      </c>
      <c r="M95" s="15" t="n">
        <f aca="false">SUM(M5:M94)</f>
        <v>1580.883311</v>
      </c>
      <c r="N95" s="15" t="n">
        <f aca="false">SUM(N5:N94)</f>
        <v>-490</v>
      </c>
      <c r="O95" s="15" t="n">
        <f aca="false">SUM(O5:O94)</f>
        <v>-179.0883311</v>
      </c>
      <c r="P95" s="15" t="n">
        <f aca="false">SUM(P5:P94)</f>
        <v>0</v>
      </c>
      <c r="Q95" s="15" t="n">
        <f aca="false">SUM(Q5:Q94)</f>
        <v>-114.98</v>
      </c>
      <c r="R95" s="15" t="n">
        <f aca="false">SUM(R5:R94)</f>
        <v>1374.73938121533</v>
      </c>
    </row>
    <row r="99" customFormat="false" ht="15" hidden="false" customHeight="true" outlineLevel="0" collapsed="false">
      <c r="A99" s="14" t="s">
        <v>251</v>
      </c>
      <c r="B99" s="15" t="n">
        <f aca="false">MIN(S5:S94)</f>
        <v>-570.723498709</v>
      </c>
    </row>
    <row r="100" customFormat="false" ht="15" hidden="false" customHeight="true" outlineLevel="0" collapsed="false">
      <c r="A100" s="14" t="s">
        <v>252</v>
      </c>
      <c r="B100" s="33" t="n">
        <f aca="false">INDEX(A5:A94,MATCH(B99,S5:S94,0))</f>
        <v>16</v>
      </c>
    </row>
    <row r="101" customFormat="false" ht="15" hidden="false" customHeight="true" outlineLevel="0" collapsed="false">
      <c r="A101" s="14" t="s">
        <v>253</v>
      </c>
      <c r="B101" s="33" t="n">
        <f aca="false">IFERROR(INDEX(A5:A94,MATCH(1,T5:T94,0)),"não volta em 90 dias")</f>
        <v>20</v>
      </c>
    </row>
    <row r="102" customFormat="false" ht="15" hidden="false" customHeight="true" outlineLevel="0" collapsed="false">
      <c r="A102" s="14" t="s">
        <v>18</v>
      </c>
      <c r="B102" s="15" t="n">
        <f aca="false">MIN(U5:U94)</f>
        <v>-1367.533498709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80"/>
    <col collapsed="false" customWidth="true" hidden="false" outlineLevel="0" max="3" min="3" style="1" width="55"/>
    <col collapsed="false" customWidth="true" hidden="false" outlineLevel="0" max="4" min="4" style="1" width="45"/>
    <col collapsed="false" customWidth="true" hidden="false" outlineLevel="0" max="5" min="5" style="1" width="40"/>
  </cols>
  <sheetData>
    <row r="1" customFormat="false" ht="17.25" hidden="false" customHeight="true" outlineLevel="0" collapsed="false">
      <c r="A1" s="2" t="s">
        <v>254</v>
      </c>
    </row>
    <row r="3" customFormat="false" ht="15" hidden="false" customHeight="true" outlineLevel="0" collapsed="false">
      <c r="A3" s="4" t="s">
        <v>255</v>
      </c>
      <c r="B3" s="4" t="s">
        <v>256</v>
      </c>
      <c r="C3" s="4" t="s">
        <v>257</v>
      </c>
      <c r="D3" s="4" t="s">
        <v>258</v>
      </c>
      <c r="E3" s="4" t="s">
        <v>259</v>
      </c>
    </row>
    <row r="4" customFormat="false" ht="23.25" hidden="false" customHeight="true" outlineLevel="0" collapsed="false">
      <c r="A4" s="34" t="n">
        <v>1</v>
      </c>
      <c r="B4" s="34" t="s">
        <v>260</v>
      </c>
      <c r="C4" s="34" t="s">
        <v>261</v>
      </c>
      <c r="D4" s="34" t="s">
        <v>262</v>
      </c>
      <c r="E4" s="35"/>
    </row>
    <row r="5" customFormat="false" ht="15" hidden="false" customHeight="true" outlineLevel="0" collapsed="false">
      <c r="A5" s="34" t="n">
        <v>2</v>
      </c>
      <c r="B5" s="34" t="s">
        <v>263</v>
      </c>
      <c r="C5" s="34" t="s">
        <v>264</v>
      </c>
      <c r="D5" s="34" t="s">
        <v>265</v>
      </c>
      <c r="E5" s="35"/>
    </row>
    <row r="6" customFormat="false" ht="15" hidden="false" customHeight="true" outlineLevel="0" collapsed="false">
      <c r="A6" s="34" t="n">
        <v>3</v>
      </c>
      <c r="B6" s="34" t="s">
        <v>266</v>
      </c>
      <c r="C6" s="34" t="s">
        <v>267</v>
      </c>
      <c r="D6" s="34" t="s">
        <v>268</v>
      </c>
      <c r="E6" s="35"/>
    </row>
    <row r="7" customFormat="false" ht="23.25" hidden="false" customHeight="true" outlineLevel="0" collapsed="false">
      <c r="A7" s="34" t="n">
        <v>4</v>
      </c>
      <c r="B7" s="34" t="s">
        <v>269</v>
      </c>
      <c r="C7" s="34" t="s">
        <v>270</v>
      </c>
      <c r="D7" s="34" t="s">
        <v>271</v>
      </c>
      <c r="E7" s="3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2"/>
    <col collapsed="false" customWidth="true" hidden="false" outlineLevel="0" max="3" min="3" style="1" width="62"/>
    <col collapsed="false" customWidth="true" hidden="false" outlineLevel="0" max="4" min="4" style="1" width="36"/>
    <col collapsed="false" customWidth="true" hidden="false" outlineLevel="0" max="5" min="5" style="1" width="50"/>
  </cols>
  <sheetData>
    <row r="1" customFormat="false" ht="17.25" hidden="false" customHeight="true" outlineLevel="0" collapsed="false">
      <c r="A1" s="2" t="s">
        <v>272</v>
      </c>
    </row>
    <row r="3" customFormat="false" ht="15" hidden="false" customHeight="true" outlineLevel="0" collapsed="false">
      <c r="A3" s="4" t="s">
        <v>62</v>
      </c>
      <c r="B3" s="4" t="s">
        <v>273</v>
      </c>
      <c r="C3" s="4" t="s">
        <v>274</v>
      </c>
      <c r="D3" s="4" t="s">
        <v>275</v>
      </c>
      <c r="E3" s="4" t="s">
        <v>276</v>
      </c>
    </row>
    <row r="4" customFormat="false" ht="23.25" hidden="false" customHeight="true" outlineLevel="0" collapsed="false">
      <c r="A4" s="34" t="s">
        <v>277</v>
      </c>
      <c r="B4" s="34" t="s">
        <v>278</v>
      </c>
      <c r="C4" s="34" t="s">
        <v>279</v>
      </c>
      <c r="D4" s="34" t="s">
        <v>280</v>
      </c>
      <c r="E4" s="34" t="s">
        <v>281</v>
      </c>
    </row>
    <row r="5" customFormat="false" ht="15" hidden="false" customHeight="true" outlineLevel="0" collapsed="false">
      <c r="A5" s="34" t="s">
        <v>197</v>
      </c>
      <c r="B5" s="34" t="s">
        <v>282</v>
      </c>
      <c r="C5" s="34" t="s">
        <v>283</v>
      </c>
      <c r="D5" s="34" t="s">
        <v>284</v>
      </c>
      <c r="E5" s="34" t="s">
        <v>285</v>
      </c>
    </row>
    <row r="6" customFormat="false" ht="15" hidden="false" customHeight="true" outlineLevel="0" collapsed="false">
      <c r="A6" s="34" t="s">
        <v>119</v>
      </c>
      <c r="B6" s="34" t="s">
        <v>286</v>
      </c>
      <c r="C6" s="34" t="s">
        <v>287</v>
      </c>
      <c r="D6" s="34" t="s">
        <v>288</v>
      </c>
      <c r="E6" s="34" t="s">
        <v>289</v>
      </c>
    </row>
    <row r="7" customFormat="false" ht="34.5" hidden="false" customHeight="true" outlineLevel="0" collapsed="false">
      <c r="A7" s="34" t="s">
        <v>290</v>
      </c>
      <c r="B7" s="34" t="s">
        <v>291</v>
      </c>
      <c r="C7" s="34" t="s">
        <v>292</v>
      </c>
      <c r="D7" s="34" t="s">
        <v>293</v>
      </c>
      <c r="E7" s="34" t="s">
        <v>289</v>
      </c>
    </row>
    <row r="8" customFormat="false" ht="23.25" hidden="false" customHeight="true" outlineLevel="0" collapsed="false">
      <c r="A8" s="34" t="s">
        <v>294</v>
      </c>
      <c r="B8" s="34" t="s">
        <v>295</v>
      </c>
      <c r="C8" s="34" t="s">
        <v>296</v>
      </c>
      <c r="D8" s="34" t="s">
        <v>297</v>
      </c>
      <c r="E8" s="34" t="s">
        <v>285</v>
      </c>
    </row>
    <row r="9" customFormat="false" ht="23.25" hidden="false" customHeight="true" outlineLevel="0" collapsed="false">
      <c r="A9" s="34" t="s">
        <v>298</v>
      </c>
      <c r="B9" s="34" t="s">
        <v>299</v>
      </c>
      <c r="C9" s="34" t="s">
        <v>300</v>
      </c>
      <c r="D9" s="34" t="s">
        <v>301</v>
      </c>
      <c r="E9" s="34" t="s">
        <v>285</v>
      </c>
    </row>
    <row r="10" customFormat="false" ht="45.75" hidden="false" customHeight="true" outlineLevel="0" collapsed="false">
      <c r="A10" s="34" t="s">
        <v>302</v>
      </c>
      <c r="B10" s="34" t="s">
        <v>303</v>
      </c>
      <c r="C10" s="34" t="s">
        <v>304</v>
      </c>
      <c r="D10" s="34" t="s">
        <v>305</v>
      </c>
      <c r="E10" s="34" t="s">
        <v>306</v>
      </c>
    </row>
    <row r="11" customFormat="false" ht="34.5" hidden="false" customHeight="true" outlineLevel="0" collapsed="false">
      <c r="A11" s="34" t="s">
        <v>307</v>
      </c>
      <c r="B11" s="34" t="s">
        <v>308</v>
      </c>
      <c r="C11" s="34" t="s">
        <v>309</v>
      </c>
      <c r="D11" s="34" t="s">
        <v>310</v>
      </c>
      <c r="E11" s="34" t="s">
        <v>311</v>
      </c>
    </row>
    <row r="12" customFormat="false" ht="15" hidden="false" customHeight="true" outlineLevel="0" collapsed="false">
      <c r="A12" s="34" t="s">
        <v>312</v>
      </c>
      <c r="B12" s="34" t="s">
        <v>313</v>
      </c>
      <c r="C12" s="34" t="s">
        <v>314</v>
      </c>
      <c r="D12" s="34" t="s">
        <v>315</v>
      </c>
      <c r="E12" s="34" t="s">
        <v>316</v>
      </c>
    </row>
    <row r="13" customFormat="false" ht="23.25" hidden="false" customHeight="true" outlineLevel="0" collapsed="false">
      <c r="A13" s="34" t="s">
        <v>317</v>
      </c>
      <c r="B13" s="34" t="s">
        <v>318</v>
      </c>
      <c r="C13" s="34" t="s">
        <v>319</v>
      </c>
      <c r="D13" s="34" t="s">
        <v>320</v>
      </c>
      <c r="E13" s="34" t="s">
        <v>321</v>
      </c>
    </row>
    <row r="14" customFormat="false" ht="23.25" hidden="false" customHeight="true" outlineLevel="0" collapsed="false">
      <c r="A14" s="34" t="s">
        <v>322</v>
      </c>
      <c r="B14" s="34" t="s">
        <v>323</v>
      </c>
      <c r="C14" s="34" t="s">
        <v>324</v>
      </c>
      <c r="D14" s="34" t="s">
        <v>325</v>
      </c>
      <c r="E14" s="34" t="s">
        <v>316</v>
      </c>
    </row>
    <row r="15" customFormat="false" ht="23.25" hidden="false" customHeight="true" outlineLevel="0" collapsed="false">
      <c r="A15" s="34" t="s">
        <v>326</v>
      </c>
      <c r="B15" s="34" t="s">
        <v>299</v>
      </c>
      <c r="C15" s="34" t="s">
        <v>327</v>
      </c>
      <c r="D15" s="34" t="s">
        <v>328</v>
      </c>
      <c r="E15" s="34" t="s">
        <v>329</v>
      </c>
    </row>
    <row r="16" customFormat="false" ht="34.5" hidden="false" customHeight="true" outlineLevel="0" collapsed="false">
      <c r="A16" s="34" t="s">
        <v>330</v>
      </c>
      <c r="B16" s="34" t="s">
        <v>331</v>
      </c>
      <c r="C16" s="34" t="s">
        <v>332</v>
      </c>
      <c r="D16" s="34" t="s">
        <v>333</v>
      </c>
      <c r="E16" s="34" t="s">
        <v>334</v>
      </c>
    </row>
    <row r="17" customFormat="false" ht="15" hidden="false" customHeight="true" outlineLevel="0" collapsed="false">
      <c r="A17" s="34" t="s">
        <v>335</v>
      </c>
      <c r="B17" s="34" t="s">
        <v>336</v>
      </c>
      <c r="C17" s="34" t="s">
        <v>337</v>
      </c>
      <c r="D17" s="34" t="s">
        <v>90</v>
      </c>
      <c r="E17" s="34" t="s">
        <v>115</v>
      </c>
    </row>
    <row r="18" customFormat="false" ht="15" hidden="false" customHeight="true" outlineLevel="0" collapsed="false">
      <c r="A18" s="34" t="s">
        <v>338</v>
      </c>
      <c r="B18" s="34" t="s">
        <v>299</v>
      </c>
      <c r="C18" s="34" t="s">
        <v>339</v>
      </c>
      <c r="D18" s="34" t="s">
        <v>340</v>
      </c>
      <c r="E18" s="34" t="s">
        <v>285</v>
      </c>
    </row>
    <row r="19" customFormat="false" ht="15" hidden="false" customHeight="true" outlineLevel="0" collapsed="false">
      <c r="A19" s="34" t="s">
        <v>341</v>
      </c>
      <c r="B19" s="34" t="s">
        <v>299</v>
      </c>
      <c r="C19" s="34" t="s">
        <v>342</v>
      </c>
      <c r="D19" s="34" t="s">
        <v>343</v>
      </c>
      <c r="E19" s="34" t="s">
        <v>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5" min="5" style="1" width="28"/>
    <col collapsed="false" customWidth="true" hidden="false" outlineLevel="0" max="7" min="6" style="1" width="40"/>
    <col collapsed="false" customWidth="true" hidden="false" outlineLevel="0" max="8" min="8" style="1" width="42"/>
  </cols>
  <sheetData>
    <row r="1" customFormat="false" ht="17.25" hidden="false" customHeight="true" outlineLevel="0" collapsed="false">
      <c r="A1" s="2" t="s">
        <v>345</v>
      </c>
    </row>
    <row r="2" customFormat="false" ht="15" hidden="false" customHeight="true" outlineLevel="0" collapsed="false">
      <c r="A2" s="3" t="s">
        <v>346</v>
      </c>
    </row>
    <row r="4" customFormat="false" ht="23.25" hidden="false" customHeight="true" outlineLevel="0" collapsed="false">
      <c r="A4" s="4" t="s">
        <v>347</v>
      </c>
      <c r="B4" s="4" t="s">
        <v>62</v>
      </c>
      <c r="C4" s="4" t="s">
        <v>348</v>
      </c>
      <c r="D4" s="4" t="s">
        <v>349</v>
      </c>
      <c r="E4" s="4" t="s">
        <v>350</v>
      </c>
      <c r="F4" s="4" t="s">
        <v>351</v>
      </c>
      <c r="G4" s="4" t="s">
        <v>352</v>
      </c>
      <c r="H4" s="4" t="s">
        <v>353</v>
      </c>
    </row>
    <row r="5" customFormat="false" ht="15" hidden="false" customHeight="true" outlineLevel="0" collapsed="false">
      <c r="A5" s="34" t="s">
        <v>190</v>
      </c>
      <c r="B5" s="34" t="s">
        <v>194</v>
      </c>
      <c r="C5" s="36" t="n">
        <f aca="false">Premissas!$B$29*Premissas!$B$50</f>
        <v>30</v>
      </c>
      <c r="D5" s="34" t="s">
        <v>354</v>
      </c>
      <c r="E5" s="34" t="s">
        <v>355</v>
      </c>
      <c r="F5" s="34" t="s">
        <v>356</v>
      </c>
      <c r="G5" s="34" t="s">
        <v>357</v>
      </c>
      <c r="H5" s="34" t="s">
        <v>90</v>
      </c>
    </row>
    <row r="6" customFormat="false" ht="23.25" hidden="false" customHeight="true" outlineLevel="0" collapsed="false">
      <c r="A6" s="34" t="s">
        <v>190</v>
      </c>
      <c r="B6" s="34" t="s">
        <v>197</v>
      </c>
      <c r="C6" s="36" t="n">
        <f aca="false">Premissas!$B$30</f>
        <v>19.99</v>
      </c>
      <c r="D6" s="34" t="s">
        <v>358</v>
      </c>
      <c r="E6" s="34" t="s">
        <v>355</v>
      </c>
      <c r="F6" s="34" t="s">
        <v>359</v>
      </c>
      <c r="G6" s="34" t="s">
        <v>360</v>
      </c>
      <c r="H6" s="34" t="s">
        <v>361</v>
      </c>
    </row>
    <row r="7" customFormat="false" ht="15" hidden="false" customHeight="true" outlineLevel="0" collapsed="false">
      <c r="A7" s="34" t="s">
        <v>190</v>
      </c>
      <c r="B7" s="34" t="s">
        <v>119</v>
      </c>
      <c r="C7" s="36" t="n">
        <f aca="false">Premissas!$B$31</f>
        <v>5</v>
      </c>
      <c r="D7" s="34" t="s">
        <v>362</v>
      </c>
      <c r="E7" s="34" t="s">
        <v>355</v>
      </c>
      <c r="F7" s="34" t="s">
        <v>359</v>
      </c>
      <c r="G7" s="34" t="s">
        <v>363</v>
      </c>
      <c r="H7" s="34" t="s">
        <v>364</v>
      </c>
    </row>
    <row r="8" customFormat="false" ht="23.25" hidden="false" customHeight="true" outlineLevel="0" collapsed="false">
      <c r="A8" s="34" t="s">
        <v>190</v>
      </c>
      <c r="B8" s="34" t="s">
        <v>365</v>
      </c>
      <c r="C8" s="36" t="n">
        <f aca="false">Unitário!$B$25</f>
        <v>7.726209</v>
      </c>
      <c r="D8" s="34" t="s">
        <v>366</v>
      </c>
      <c r="E8" s="34" t="s">
        <v>367</v>
      </c>
      <c r="F8" s="34" t="s">
        <v>368</v>
      </c>
      <c r="G8" s="34" t="s">
        <v>369</v>
      </c>
      <c r="H8" s="34" t="s">
        <v>370</v>
      </c>
    </row>
    <row r="9" customFormat="false" ht="23.25" hidden="false" customHeight="true" outlineLevel="0" collapsed="false">
      <c r="A9" s="34" t="s">
        <v>190</v>
      </c>
      <c r="B9" s="34" t="s">
        <v>371</v>
      </c>
      <c r="C9" s="36" t="n">
        <f aca="false">Premissas!$B$38</f>
        <v>4.99</v>
      </c>
      <c r="D9" s="34" t="s">
        <v>372</v>
      </c>
      <c r="E9" s="34" t="s">
        <v>178</v>
      </c>
      <c r="F9" s="34" t="s">
        <v>359</v>
      </c>
      <c r="G9" s="34" t="s">
        <v>373</v>
      </c>
      <c r="H9" s="34" t="s">
        <v>90</v>
      </c>
    </row>
    <row r="10" customFormat="false" ht="15" hidden="false" customHeight="true" outlineLevel="0" collapsed="false">
      <c r="A10" s="34" t="s">
        <v>190</v>
      </c>
      <c r="B10" s="34" t="s">
        <v>374</v>
      </c>
      <c r="C10" s="36" t="n">
        <f aca="false">Premissas!$B$39</f>
        <v>9.99</v>
      </c>
      <c r="D10" s="34" t="s">
        <v>375</v>
      </c>
      <c r="E10" s="34" t="s">
        <v>178</v>
      </c>
      <c r="F10" s="34" t="s">
        <v>376</v>
      </c>
      <c r="G10" s="34" t="s">
        <v>377</v>
      </c>
      <c r="H10" s="34" t="s">
        <v>90</v>
      </c>
    </row>
    <row r="11" customFormat="false" ht="34.5" hidden="false" customHeight="true" outlineLevel="0" collapsed="false">
      <c r="A11" s="34" t="s">
        <v>190</v>
      </c>
      <c r="B11" s="34" t="s">
        <v>378</v>
      </c>
      <c r="C11" s="36" t="n">
        <f aca="false">Premissas!$B$40</f>
        <v>30</v>
      </c>
      <c r="D11" s="34" t="s">
        <v>379</v>
      </c>
      <c r="E11" s="34" t="s">
        <v>380</v>
      </c>
      <c r="F11" s="34" t="s">
        <v>381</v>
      </c>
      <c r="G11" s="34" t="s">
        <v>382</v>
      </c>
      <c r="H11" s="34" t="s">
        <v>383</v>
      </c>
    </row>
    <row r="12" customFormat="false" ht="15" hidden="false" customHeight="true" outlineLevel="0" collapsed="false">
      <c r="A12" s="34" t="s">
        <v>191</v>
      </c>
      <c r="B12" s="34" t="s">
        <v>194</v>
      </c>
      <c r="C12" s="36" t="n">
        <f aca="false">Premissas!$B$29*Premissas!$B$50</f>
        <v>30</v>
      </c>
      <c r="D12" s="34" t="s">
        <v>354</v>
      </c>
      <c r="E12" s="34" t="s">
        <v>355</v>
      </c>
      <c r="F12" s="34" t="s">
        <v>356</v>
      </c>
      <c r="G12" s="34" t="s">
        <v>384</v>
      </c>
      <c r="H12" s="34" t="s">
        <v>90</v>
      </c>
    </row>
    <row r="13" customFormat="false" ht="34.5" hidden="false" customHeight="true" outlineLevel="0" collapsed="false">
      <c r="A13" s="34" t="s">
        <v>191</v>
      </c>
      <c r="B13" s="34" t="s">
        <v>378</v>
      </c>
      <c r="C13" s="36" t="n">
        <f aca="false">Premissas!$B$41</f>
        <v>50</v>
      </c>
      <c r="D13" s="34" t="s">
        <v>379</v>
      </c>
      <c r="E13" s="34" t="s">
        <v>178</v>
      </c>
      <c r="F13" s="34" t="s">
        <v>385</v>
      </c>
      <c r="G13" s="34" t="s">
        <v>382</v>
      </c>
      <c r="H13" s="34" t="s">
        <v>386</v>
      </c>
    </row>
    <row r="14" customFormat="false" ht="15" hidden="false" customHeight="true" outlineLevel="0" collapsed="false">
      <c r="A14" s="34" t="s">
        <v>191</v>
      </c>
      <c r="B14" s="34" t="s">
        <v>119</v>
      </c>
      <c r="C14" s="36" t="n">
        <f aca="false">Premissas!$B$31</f>
        <v>5</v>
      </c>
      <c r="D14" s="34" t="s">
        <v>362</v>
      </c>
      <c r="E14" s="34" t="s">
        <v>355</v>
      </c>
      <c r="F14" s="34" t="s">
        <v>359</v>
      </c>
      <c r="G14" s="34" t="s">
        <v>387</v>
      </c>
      <c r="H14" s="34" t="s">
        <v>285</v>
      </c>
    </row>
    <row r="15" customFormat="false" ht="23.25" hidden="false" customHeight="true" outlineLevel="0" collapsed="false">
      <c r="A15" s="34" t="s">
        <v>191</v>
      </c>
      <c r="B15" s="34" t="s">
        <v>388</v>
      </c>
      <c r="C15" s="36" t="n">
        <f aca="false">Unitário!$B$27</f>
        <v>3.9897635</v>
      </c>
      <c r="D15" s="34" t="s">
        <v>389</v>
      </c>
      <c r="E15" s="34" t="s">
        <v>390</v>
      </c>
      <c r="F15" s="34" t="s">
        <v>391</v>
      </c>
      <c r="G15" s="34" t="s">
        <v>392</v>
      </c>
      <c r="H15" s="34" t="s">
        <v>393</v>
      </c>
    </row>
    <row r="16" customFormat="false" ht="15" hidden="false" customHeight="true" outlineLevel="0" collapsed="false">
      <c r="A16" s="34" t="s">
        <v>191</v>
      </c>
      <c r="B16" s="34" t="s">
        <v>197</v>
      </c>
      <c r="C16" s="36" t="n">
        <v>0</v>
      </c>
      <c r="D16" s="34" t="s">
        <v>394</v>
      </c>
      <c r="E16" s="34" t="s">
        <v>395</v>
      </c>
      <c r="F16" s="34" t="s">
        <v>395</v>
      </c>
      <c r="G16" s="34" t="s">
        <v>395</v>
      </c>
      <c r="H16" s="34" t="s">
        <v>396</v>
      </c>
    </row>
    <row r="17" customFormat="false" ht="23.25" hidden="false" customHeight="true" outlineLevel="0" collapsed="false">
      <c r="A17" s="34" t="s">
        <v>397</v>
      </c>
      <c r="B17" s="34" t="s">
        <v>398</v>
      </c>
      <c r="C17" s="36" t="n">
        <f aca="false">Premissas!$B$18/Premissas!$B$19*(1+Premissas!$B$17)</f>
        <v>17.0745</v>
      </c>
      <c r="D17" s="34" t="s">
        <v>399</v>
      </c>
      <c r="E17" s="34" t="s">
        <v>400</v>
      </c>
      <c r="F17" s="34" t="s">
        <v>401</v>
      </c>
      <c r="G17" s="34" t="s">
        <v>402</v>
      </c>
      <c r="H17" s="34" t="s">
        <v>403</v>
      </c>
    </row>
    <row r="18" customFormat="false" ht="34.5" hidden="false" customHeight="true" outlineLevel="0" collapsed="false">
      <c r="A18" s="34" t="s">
        <v>397</v>
      </c>
      <c r="B18" s="34" t="s">
        <v>227</v>
      </c>
      <c r="C18" s="36" t="n">
        <f aca="false">Premissas!$B$20/Premissas!$B$19+Premissas!$B$21</f>
        <v>2.74</v>
      </c>
      <c r="D18" s="34" t="s">
        <v>404</v>
      </c>
      <c r="E18" s="34" t="s">
        <v>405</v>
      </c>
      <c r="F18" s="34" t="s">
        <v>406</v>
      </c>
      <c r="G18" s="34" t="s">
        <v>402</v>
      </c>
      <c r="H18" s="34" t="s">
        <v>407</v>
      </c>
    </row>
    <row r="19" customFormat="false" ht="23.25" hidden="false" customHeight="true" outlineLevel="0" collapsed="false">
      <c r="A19" s="34" t="s">
        <v>408</v>
      </c>
      <c r="B19" s="34" t="s">
        <v>409</v>
      </c>
      <c r="C19" s="36" t="n">
        <f aca="false">Premissas!$B$43</f>
        <v>53.5</v>
      </c>
      <c r="D19" s="34" t="s">
        <v>410</v>
      </c>
      <c r="E19" s="34" t="s">
        <v>405</v>
      </c>
      <c r="F19" s="34" t="s">
        <v>411</v>
      </c>
      <c r="G19" s="34" t="s">
        <v>395</v>
      </c>
      <c r="H19" s="34" t="s">
        <v>90</v>
      </c>
    </row>
    <row r="20" customFormat="false" ht="23.25" hidden="false" customHeight="true" outlineLevel="0" collapsed="false">
      <c r="A20" s="34" t="s">
        <v>412</v>
      </c>
      <c r="B20" s="34" t="s">
        <v>413</v>
      </c>
      <c r="C20" s="36" t="n">
        <f aca="false">Premissas!$B$67*Premissas!$B$68</f>
        <v>3.99</v>
      </c>
      <c r="D20" s="34" t="s">
        <v>414</v>
      </c>
      <c r="E20" s="34" t="s">
        <v>415</v>
      </c>
      <c r="F20" s="34" t="s">
        <v>416</v>
      </c>
      <c r="G20" s="34" t="s">
        <v>395</v>
      </c>
      <c r="H20" s="34" t="s">
        <v>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2026-10-09T20:55:15Z</dcterms:created>
  <dc:creator>openpyxl</dc:creator>
  <dc:description/>
  <dc:language>en-US</dc:language>
  <cp:lastModifiedBy/>
  <dcterms:modified xsi:type="dcterms:W3CDTF">2026-10-17T16:27:04Z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