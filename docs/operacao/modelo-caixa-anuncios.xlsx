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<sst xmlns="http://schemas.openxmlformats.org/spreadsheetml/2006/main" count="420" uniqueCount="364">
  <si>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</si>
  <si>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</si>
  <si>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</si>
  <si>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</si>
  <si>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</si>
  <si>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</si>
  <si>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</si>
  <si>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</si>
  <si>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</si>
  <si>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</si>
  <si>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</si>
  <si>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</si>
  <si>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</si>
  <si>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+ fixos antes do repasse, com o anúncio só no vencimento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</si>
  <si>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</si>
  <si>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</si>
  <si>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</si>
  <si>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</si>
  <si>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</si>
  <si>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</si>
  <si>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</si>
  <si>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</si>
  <si>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</si>
  <si>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</si>
  <si>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</si>
  <si>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</si>
  <si>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</si>
  <si>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</si>
  <si>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</si>
  <si>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</si>
  <si>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</si>
  <si>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</si>
  <si>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</si>
  <si>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</si>
  <si>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</si>
  <si>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</si>
  <si>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</si>
  <si>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</si>
  <si>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</si>
  <si>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</si>
  <si>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(transação + entrega + manuseio)</t>
  </si>
  <si>
    <t xml:space="preserve">COD: valor cheio no pedido; antec.: manuseio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</si>
  <si>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</si>
  <si>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</si>
  <si>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</si>
  <si>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</si>
  <si>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</si>
  <si>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</si>
  <si>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</si>
  <si>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</si>
  <si>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</si>
  <si>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</si>
  <si>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</si>
  <si>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</si>
  <si>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</si>
  <si>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</si>
  <si>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</si>
  <si>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</si>
  <si>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</si>
  <si>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</si>
  <si>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</si>
  <si>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</si>
  <si>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</si>
  <si>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</si>
  <si>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</si>
  <si>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</si>
  <si>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</si>
  <si>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</si>
  <si>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</si>
  <si>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</si>
  <si>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</si>
  <si>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</si>
  <si>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</si>
  <si>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</si>
  <si>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</si>
  <si>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Assumido (segunda-feira) — informe a real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</si>
  <si>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</si>
  <si>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</si>
  <si>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</si>
  <si>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</si>
  <si>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</si>
  <si>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</si>
  <si>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</si>
  <si>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 (outras fontes dizem 12,15%). Conferir na sua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</si>
  <si>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</si>
  <si>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</si>
  <si>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</si>
  <si>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</si>
  <si>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</si>
  <si>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</si>
  <si>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</si>
  <si>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</si>
  <si>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</si>
  <si>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</si>
  <si>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</si>
  <si>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</si>
  <si>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</si>
  <si>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</si>
  <si>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</si>
  <si>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</si>
  <si>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</si>
  <si>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</si>
  <si>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</si>
  <si>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</si>
  <si>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</si>
  <si>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</si>
  <si>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</si>
  <si>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</si>
  <si>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</si>
  <si>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</si>
  <si>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</si>
  <si>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</si>
  <si>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</si>
  <si>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</si>
  <si>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</si>
  <si>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</si>
  <si>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</si>
  <si>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</si>
  <si>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Taxa por recusa (entrega frustrada)</t>
  </si>
  <si>
    <t xml:space="preserve">Operador R18.3, 02/10</t>
  </si>
  <si>
    <t xml:space="preserve">Taxa de devolução (manuseio incluso)</t>
  </si>
  <si>
    <t xml:space="preserve">ESTIMADA pelo operador; deve ser maior (depende do valor do ticket) — medir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</si>
  <si>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</si>
  <si>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</si>
  <si>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R$ 35), pagos dia 1</t>
  </si>
  <si>
    <t xml:space="preserve">R$/mês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</si>
  <si>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</si>
  <si>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</si>
  <si>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</si>
  <si>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</si>
  <si>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</si>
  <si>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</si>
  <si>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</si>
  <si>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</si>
  <si>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</si>
  <si>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</si>
  <si>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</si>
  <si>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</si>
  <si>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</si>
  <si>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</si>
  <si>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</si>
  <si>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</si>
  <si>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</si>
  <si>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</si>
  <si>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</si>
  <si>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</si>
  <si>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</si>
  <si>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</si>
  <si>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</si>
  <si>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SEU caixa no dia do pedido?</t>
  </si>
  <si>
    <t xml:space="preserve">1/0</t>
  </si>
  <si>
    <t xml:space="preserve">Operador: pago antecipadamente</t>
  </si>
  <si>
    <t xml:space="preserve">Taxas COD saem do seu caixa no dia do pedido? (0 = descontadas do repasse)</t>
  </si>
  <si>
    <t xml:space="preserve">Operador: pagas antecipadamente; falta saber se no pedido ou só no pagamento do cliente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</si>
  <si>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</si>
  <si>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</si>
  <si>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</si>
  <si>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</si>
  <si>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</si>
  <si>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</si>
  <si>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</si>
  <si>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mês (pago no dia 1)</t>
  </si>
  <si>
    <t xml:space="preserve">saques</t>
  </si>
  <si>
    <t xml:space="preserve">Assumido</t>
  </si>
  <si>
    <t xml:space="preserve">Economia por pedido (confere com a tabela de 02/10 do doc: 24,31 / 49,50 / mix 31,86 com 1 peça)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</si>
  <si>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</si>
  <si>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</si>
  <si>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</si>
  <si>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</si>
  <si>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</si>
  <si>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</si>
  <si>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</si>
  <si>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</si>
  <si>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</si>
  <si>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</si>
  <si>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</si>
  <si>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</si>
  <si>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</si>
  <si>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</si>
  <si>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antecipado: taxa MP não volta</t>
  </si>
  <si>
    <t xml:space="preserve">Margem esperada (antes de lead/IA/WhatsApp)</t>
  </si>
  <si>
    <t xml:space="preserve">Lead (CPL ÷ conversão)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</si>
  <si>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</si>
  <si>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</si>
  <si>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</si>
  <si>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</si>
  <si>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</si>
  <si>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</si>
  <si>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</si>
  <si>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</si>
  <si>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</si>
  <si>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</si>
  <si>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</si>
  <si>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</si>
  <si>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</si>
  <si>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</si>
  <si>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</si>
  <si>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</si>
  <si>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</si>
  <si>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</si>
  <si>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</si>
  <si>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</si>
  <si>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</si>
  <si>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no pedido</t>
  </si>
  <si>
    <t xml:space="preserve">COD: recusa (estorno − taxa)</t>
  </si>
  <si>
    <t xml:space="preserve">COD: devolução (estorno − taxa)</t>
  </si>
  <si>
    <t xml:space="preserve">COD: repasse (entrada)</t>
  </si>
  <si>
    <t xml:space="preserve">Antec.: entrada MP</t>
  </si>
  <si>
    <t xml:space="preserve">Antec.: produto + manuseio no pedido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</si>
  <si>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</si>
  <si>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</si>
  <si>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</si>
  <si>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</si>
  <si>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</si>
  <si>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</si>
  <si>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</si>
  <si>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IA + WhatsApp incorrido</t>
  </si>
  <si>
    <t xml:space="preserve">Dia do pagamento da IA/WhatsApp (dia 1 do mês seguinte)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</si>
  <si>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</si>
  <si>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</si>
  <si>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</si>
  <si>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</si>
  <si>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</si>
  <si>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</si>
  <si>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</si>
  <si>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</si>
  <si>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</si>
  <si>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</si>
  <si>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Taxas COD (entrega R$ 19,99 + manuseio): saem do SALDO DE EXPEDIÇÃO quando o pedido vai para 'em separação' (como diz o blog da Coinzz) ou no pedido criado? Você precisa recarregar o saldo antes?</t>
  </si>
  <si>
    <t xml:space="preserve">Define o dia e o valor que sai do caixa antes de existir venda</t>
  </si>
  <si>
    <t xml:space="preserve">Saem no dia do pedido criado, valor cheio de R$ 36,55</t>
  </si>
  <si>
    <t xml:space="preserve">Devolução: quanto você pagou/vai pagar de verdade por pedido devolvido? (tarifa de retorno da Logzz, frete de ida e volta, por faixa de ticket)</t>
  </si>
  <si>
    <t xml:space="preserve">R$ 25 é estimativa e tende a ser maior; cada R$ 10 a mais custa R$ 1 por pedido COD</t>
  </si>
  <si>
    <t xml:space="preserve">R$ 25,00</t>
  </si>
  <si>
    <t xml:space="preserve">Recusa/entrega frustrada: R$ 9,99 (página de produtores), R$ 4,99 (central de ajuda) ou outro valor no seu painel?</t>
  </si>
  <si>
    <t xml:space="preserve">As duas páginas da Logzz divergem</t>
  </si>
  <si>
    <t xml:space="preserve">R$ 9,99</t>
  </si>
  <si>
    <t xml:space="preserve">Taxa de transação COD: 6,99% sobre o PREÇO ou sobre a COMISSÃO? E o antifraude de R$ 2,49 ainda é cobrado no COD?</t>
  </si>
  <si>
    <t xml:space="preserve">A central diz '6,99% sobre o valor da comissão'; os docs usam o preço</t>
  </si>
  <si>
    <t xml:space="preserve">6,99% sobre o preço + R$ 2,49</t>
  </si>
  <si>
    <t xml:space="preserve">Manuseio é R$ 4,99 ou R$ 5,00 no seu painel?</t>
  </si>
  <si>
    <t xml:space="preserve">Docs e central de ajuda divergem em R$ 0,01 — só confirma qual tabela vale</t>
  </si>
  <si>
    <t xml:space="preserve">R$ 4,99</t>
  </si>
  <si>
    <t xml:space="preserve">Os 14 dias de liberação do COD valem para Pix, cartão e dinheiro na porta? A Logzz permite antecipar (4,99%) — você usaria?</t>
  </si>
  <si>
    <t xml:space="preserve">Antecipar encurta o ciclo de 16 para ~2 dias, ao custo de 4,99%</t>
  </si>
  <si>
    <t xml:space="preserve">14 dias para todos, sem antecipação</t>
  </si>
  <si>
    <t xml:space="preserve">Antecipado: o Mercado Pago libera mesmo na hora ou fica retido? A Coinzz diz cartão em até 14 dias e Pix em 1 dia.</t>
  </si>
  <si>
    <t xml:space="preserve">Muda quanto o antecipado ajuda o caixa</t>
  </si>
  <si>
    <t xml:space="preserve">Libera na hora (0 dia), taxa 0,99% + R$ 1 Pix e 4,98% cartão</t>
  </si>
  <si>
    <t xml:space="preserve">Mix do antecipado entre Pix e cartão, e se haverá parcelamento.</t>
  </si>
  <si>
    <t xml:space="preserve">Taxa do cartão parcelado é bem maior que 4,98%</t>
  </si>
  <si>
    <t xml:space="preserve">50% Pix, 50% cartão à vista</t>
  </si>
  <si>
    <t xml:space="preserve">Qual a data real de início do teste?</t>
  </si>
  <si>
    <t xml:space="preserve">Define em qual fatura cada gasto cai</t>
  </si>
  <si>
    <t xml:space="preserve">12/10/2026</t>
  </si>
  <si>
    <t xml:space="preserve">Gasto feito NO DIA 22 entra na fatura que vence dia 29 ou na seguinte?</t>
  </si>
  <si>
    <t xml:space="preserve">Move R$ 75 de uma fatura para a outra</t>
  </si>
  <si>
    <t xml:space="preserve">Entra na que vence dia 29</t>
  </si>
  <si>
    <t xml:space="preserve">A Meta cobra o cartão por limite de faturamento (ex.: a cada R$ X gastos) antes do fechamento da fatura? Qual o limite do cartão?</t>
  </si>
  <si>
    <t xml:space="preserve">Se cobrar antes, o gasto aparece na fatura mais cedo e o limite pode travar os anúncios</t>
  </si>
  <si>
    <t xml:space="preserve">Tudo entra na fatura do mês</t>
  </si>
  <si>
    <t xml:space="preserve">R$ 375 em 5 dias e R$ 300 em 5 dias são TOTAIS de cada fase (R$ 75/dia e R$ 60/dia)?</t>
  </si>
  <si>
    <t xml:space="preserve">Se forem por dia, a verba sobe de R$ 675 para R$ 3.375</t>
  </si>
  <si>
    <t xml:space="preserve">Totais</t>
  </si>
  <si>
    <t xml:space="preserve">Entrega do COD: em quantos dias a Logzz entrega na sua praça (D+1 a D+3)?</t>
  </si>
  <si>
    <t xml:space="preserve">Atrasa o início dos 14 dias</t>
  </si>
  <si>
    <t xml:space="preserve">2 dias</t>
  </si>
  <si>
    <t xml:space="preserve">Em quantos dias o produto devolvido chega ao centro de distribuição, e ele volta ao estoque sem perda (sem avaria)?</t>
  </si>
  <si>
    <t xml:space="preserve">Define quando a devolução sai do caixa e se perde o produto</t>
  </si>
  <si>
    <t xml:space="preserve">7 dias; volta sem perda</t>
  </si>
  <si>
    <t xml:space="preserve">Já tem estoque nos armazéns da Logzz? O frete de envio do estoque (Correios/transportadora) não está na conta — é custo do produtor.</t>
  </si>
  <si>
    <t xml:space="preserve">Pode ser o maior custo adiantado do primeiro lote</t>
  </si>
  <si>
    <t xml:space="preserve">Estoque já pago e posicionado</t>
  </si>
  <si>
    <t xml:space="preserve">O IA (Meta Model API) e o WhatsApp (templates) fecham a fatura todo dia 1 e cobrança por consumo do mês anterior?</t>
  </si>
  <si>
    <t xml:space="preserve">Define o dia da saída (hoje: dia 1 do mês seguinte)</t>
  </si>
  <si>
    <t xml:space="preserve">Dia 1 do mês seguinte</t>
  </si>
  <si>
    <t xml:space="preserve">Os templates de pós-venda dentro da janela de 24h são cobrados? (Meta diz que utility dentro da janela é grátis; um FAQ da Zenvia diz que passa a ser cobrado em 1º/10/2026.)</t>
  </si>
  <si>
    <t xml:space="preserve">Pequeno por pedido, mas muda a regra de custo do WhatsApp</t>
  </si>
  <si>
    <t xml:space="preserve">R$ 0,04 por pedido fora da janela</t>
  </si>
  <si>
    <t xml:space="preserve">O imposto de 13,83% da Meta (PIS/Cofins + ISS) aparece na sua fatura do cartão? Qual o valor exato cobrado por R$ 100 de gasto?</t>
  </si>
  <si>
    <t xml:space="preserve">Soma R$ 93 sobre R$ 675 de verba</t>
  </si>
  <si>
    <t xml:space="preserve">13,83%</t>
  </si>
  <si>
    <t xml:space="preserve">CPL (R$ 1,50), conversão (10%) e IA (R$ 0,27/lead) são metas do seu documento, não medidas. Aceita testar com elas ou prefere a ponta pior (CPL R$ 2,00, conversão 7%)?</t>
  </si>
  <si>
    <t xml:space="preserve">Pior caso aumenta o gasto por pedido e o pico</t>
  </si>
  <si>
    <t xml:space="preserve">CPL R$ 1,50; conversão 10%; IA R$ 0,27</t>
  </si>
  <si>
    <t xml:space="preserve">Recusa de 17% e devolução de 10%: são as pontas pessimistas do seu doc, ainda sem medida. Usar essas ou as pontas otimistas (12% e 5%)?</t>
  </si>
  <si>
    <t xml:space="preserve">Mudam o lucro por venda em ~R$ 7</t>
  </si>
  <si>
    <t xml:space="preserve">17% e 10%</t>
  </si>
  <si>
    <t xml:space="preserve">Compras só de 1 peça: confirma 100% 1 peça também no antecipado?</t>
  </si>
  <si>
    <t xml:space="preserve">Kit maior muda faturamento e produto</t>
  </si>
  <si>
    <t xml:space="preserve">100% 1 peça</t>
  </si>
  <si>
    <t xml:space="preserve">Saque: quantos saques por mês pretende fazer (taxa R$ 3,99 cada)?</t>
  </si>
  <si>
    <t xml:space="preserve">Pequeno, mas não estava nos docs</t>
  </si>
  <si>
    <t xml:space="preserve">1 por mês</t>
  </si>
  <si>
    <t xml:space="preserve">Impostos do Simples sobre o faturamento: incluir depois com qual alíquota?</t>
  </si>
  <si>
    <t xml:space="preserve">Fora do modelo por ora</t>
  </si>
  <si>
    <t xml:space="preserve">0%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</si>
  <si>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</si>
  <si>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</si>
  <si>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</si>
  <si>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</si>
  <si>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</si>
  <si>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</si>
  <si>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</si>
  <si>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</si>
  <si>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</si>
  <si>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</si>
  <si>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</si>
  <si>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</si>
  <si>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</si>
  <si>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</si>
  <si>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Central: R$ 5,00. Site de produtores: R$ 4,99</t>
  </si>
  <si>
    <t xml:space="preserve">Diverge em R$ 0,01</t>
  </si>
  <si>
    <t xml:space="preserve">Central Logzz; logzz.com.br/produtores</t>
  </si>
  <si>
    <t xml:space="preserve">Entrega frustrada / recusa</t>
  </si>
  <si>
    <t xml:space="preserve">Site de produtores: R$ 9,99. Central de ajuda: R$ 4,99</t>
  </si>
  <si>
    <t xml:space="preserve">Fontes divergem — conferir no painel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</si>
  <si>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</si>
  <si>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</si>
  <si>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</si>
  <si>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</si>
  <si>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</si>
  <si>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</si>
  <si>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</si>
  <si>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FALTA nos docs — incluído no modelo</t>
  </si>
  <si>
    <t xml:space="preserve">Devolução / retorno de produto</t>
  </si>
  <si>
    <t xml:space="preserve">R$ 25,00 (estimativa do operador)</t>
  </si>
  <si>
    <t xml:space="preserve">Nenhuma tarifa de devolução publicada; Logzz estorna a entrega quando a entrega falha</t>
  </si>
  <si>
    <t xml:space="preserve">Sem fonte pública — medir no painel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</si>
  <si>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</si>
  <si>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</si>
  <si>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</si>
  <si>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</si>
  <si>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Falta saber se o saldo precisa ser recarregado antes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</si>
  <si>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</si>
  <si>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</si>
  <si>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</si>
  <si>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</si>
  <si>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</si>
  <si>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</si>
  <si>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</si>
  <si>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</si>
  <si>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</si>
  <si>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</si>
  <si>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</si>
  <si>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</si>
  <si>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</si>
  <si>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</si>
  <si>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</si>
  <si>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</si>
  <si>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</si>
  <si>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</si>
  <si>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</si>
  <si>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</si>
  <si>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</si>
  <si>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</si>
  <si>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</si>
  <si>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</si>
  <si>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</si>
  <si>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</si>
  <si>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</si>
  <si>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</si>
  <si>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Pode ser o maior custo adiantado — perguntar</t>
  </si>
  <si>
    <t xml:space="preserve">logzz.com.br/produtores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</si>
</sst>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diário'!G95*Premissas!$B$46+'Fluxo diário'!H95*Premissas!$B$47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799.71988772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12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21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1568.07238772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Premissas!$B$57-Premissas!$B$58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275.28011228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1168.0802628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31.86450584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1.34422066589443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B5*(1+Premissas!$B$14)</f>
        <v>768.3525</v>
      </c>
      <c r="C18" s="2" t="s">
        <v>31</v>
      </c>
    </row>
    <row r="19" customFormat="false" ht="15" hidden="false" customHeight="false" outlineLevel="0" collapsed="false">
      <c r="A19" s="11" t="s">
        <v>32</v>
      </c>
    </row>
    <row r="20" customFormat="false" ht="15" hidden="false" customHeight="false" outlineLevel="0" collapsed="false">
      <c r="A20" s="3" t="s">
        <v>33</v>
      </c>
      <c r="B20" s="3" t="s">
        <v>34</v>
      </c>
      <c r="C20" s="3" t="s">
        <v>35</v>
      </c>
      <c r="D20" s="3" t="s">
        <v>4</v>
      </c>
    </row>
    <row r="21" customFormat="false" ht="15" hidden="false" customHeight="false" outlineLevel="0" collapsed="false">
      <c r="A21" s="2" t="s">
        <v>36</v>
      </c>
      <c r="B21" s="12" t="n">
        <f aca="false">(Premissas!$B$15+Premissas!$B$17)/Premissas!$B$16+Premissas!$B$18</f>
        <v>17.74</v>
      </c>
      <c r="C21" s="12" t="n">
        <f aca="false">(Premissas!$B$15+Premissas!$B$17)/Premissas!$B$16+Premissas!$B$18</f>
        <v>17.74</v>
      </c>
      <c r="D21" s="2" t="s">
        <v>37</v>
      </c>
    </row>
    <row r="22" customFormat="false" ht="15" hidden="false" customHeight="false" outlineLevel="0" collapsed="false">
      <c r="A22" s="2" t="s">
        <v>38</v>
      </c>
      <c r="B22" s="12" t="n">
        <f aca="false">Premissas!$B$54*Unitário!$B$22</f>
        <v>30</v>
      </c>
      <c r="C22" s="12" t="n">
        <f aca="false">Premissas!$B$54*Unitário!$B$22</f>
        <v>30</v>
      </c>
      <c r="D22" s="2" t="s">
        <v>39</v>
      </c>
    </row>
    <row r="23" customFormat="false" ht="15" hidden="false" customHeight="false" outlineLevel="0" collapsed="false">
      <c r="A23" s="2" t="s">
        <v>40</v>
      </c>
      <c r="B23" s="12" t="n">
        <f aca="false">Premissas!$B$55*Unitário!$B$23</f>
        <v>36.55001</v>
      </c>
      <c r="C23" s="12" t="n">
        <f aca="false">Premissas!$B$28</f>
        <v>4.99</v>
      </c>
      <c r="D23" s="2" t="s">
        <v>41</v>
      </c>
    </row>
    <row r="24" customFormat="false" ht="15" hidden="false" customHeight="false" outlineLevel="0" collapsed="false">
      <c r="A24" s="2" t="s">
        <v>42</v>
      </c>
      <c r="B24" s="12" t="n">
        <f aca="false">-(Premissas!$B$23+Premissas!$B$24)*(Premissas!$B$54*Unitário!$B$22+Premissas!$B$55*Unitário!$B$23)+Premissas!$B$23*Premissas!$B$35+Premissas!$B$24*Premissas!$B$36</f>
        <v>-13.7702027</v>
      </c>
      <c r="C24" s="12" t="n">
        <f aca="false">-Premissas!$B$24*(Premissas!$B$54*Unitário!$B$22+Premissas!$B$28)+Premissas!$B$24*Premissas!$B$36</f>
        <v>-0.999000000000001</v>
      </c>
      <c r="D24" s="2" t="s">
        <v>43</v>
      </c>
    </row>
    <row r="25" customFormat="false" ht="15" hidden="false" customHeight="false" outlineLevel="0" collapsed="false">
      <c r="A25" s="13" t="s">
        <v>44</v>
      </c>
      <c r="B25" s="14" t="n">
        <f aca="false">SUM(B22:B24)</f>
        <v>52.7798073</v>
      </c>
      <c r="C25" s="14" t="n">
        <f aca="false">SUM(C22:C24)</f>
        <v>33.991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15" t="n">
        <f aca="false">Premissas!$B$49+Premissas!$B$50</f>
        <v>16</v>
      </c>
      <c r="C26" s="15" t="n">
        <f aca="false">Premissas!$B$51</f>
        <v>0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12" t="n">
        <f aca="false">Unitário!$B$21*Premissas!$B$46</f>
        <v>94.827</v>
      </c>
      <c r="C27" s="12" t="n">
        <f aca="false">(1-Premissas!$B$24)*Premissas!$B$47</f>
        <v>105.219</v>
      </c>
      <c r="D27" s="2" t="s">
        <v>49</v>
      </c>
    </row>
    <row r="30" customFormat="false" ht="15" hidden="false" customHeight="false" outlineLevel="0" collapsed="false">
      <c r="A30" s="11" t="s">
        <v>50</v>
      </c>
    </row>
    <row r="31" customFormat="false" ht="15" hidden="false" customHeight="false" outlineLevel="0" collapsed="false">
      <c r="A31" s="3" t="s">
        <v>51</v>
      </c>
      <c r="B31" s="3" t="s">
        <v>52</v>
      </c>
      <c r="C31" s="3" t="s">
        <v>53</v>
      </c>
      <c r="D31" s="3" t="s">
        <v>54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799.71988772</v>
      </c>
      <c r="D32" s="17" t="n">
        <f aca="false">$B$13-C32</f>
        <v>275.28011228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1599.43977544</v>
      </c>
      <c r="D33" s="17" t="n">
        <f aca="false">$B$13-C33</f>
        <v>-524.43977544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2399.15966316</v>
      </c>
      <c r="D34" s="17" t="n">
        <f aca="false">$B$13-C34</f>
        <v>-1324.15966316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3998.5994386</v>
      </c>
      <c r="D35" s="17" t="n">
        <f aca="false">$B$13-C35</f>
        <v>-2923.5994386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7997.1988772</v>
      </c>
      <c r="D36" s="17" t="n">
        <f aca="false">$B$13-C36</f>
        <v>-6922.1988772</v>
      </c>
    </row>
    <row r="38" customFormat="false" ht="15" hidden="false" customHeight="false" outlineLevel="0" collapsed="false">
      <c r="A38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3</v>
      </c>
      <c r="C4" s="3" t="s">
        <v>59</v>
      </c>
      <c r="D4" s="3" t="s">
        <v>60</v>
      </c>
    </row>
    <row r="5" customFormat="false" ht="15" hidden="false" customHeight="false" outlineLevel="0" collapsed="false">
      <c r="A5" s="18" t="s">
        <v>61</v>
      </c>
      <c r="B5" s="19"/>
      <c r="C5" s="19"/>
      <c r="D5" s="19"/>
    </row>
    <row r="6" customFormat="false" ht="15" hidden="false" customHeight="false" outlineLevel="0" collapsed="false">
      <c r="A6" s="2" t="s">
        <v>62</v>
      </c>
      <c r="B6" s="20" t="n">
        <v>375</v>
      </c>
      <c r="C6" s="2" t="s">
        <v>63</v>
      </c>
      <c r="D6" s="2" t="s">
        <v>64</v>
      </c>
    </row>
    <row r="7" customFormat="false" ht="15" hidden="false" customHeight="false" outlineLevel="0" collapsed="false">
      <c r="A7" s="2" t="s">
        <v>65</v>
      </c>
      <c r="B7" s="21" t="n">
        <v>5</v>
      </c>
      <c r="C7" s="2" t="s">
        <v>66</v>
      </c>
      <c r="D7" s="2" t="s">
        <v>67</v>
      </c>
    </row>
    <row r="8" customFormat="false" ht="15" hidden="false" customHeight="false" outlineLevel="0" collapsed="false">
      <c r="A8" s="2" t="s">
        <v>68</v>
      </c>
      <c r="B8" s="21" t="n">
        <v>2</v>
      </c>
      <c r="C8" s="2" t="s">
        <v>66</v>
      </c>
      <c r="D8" s="2" t="s">
        <v>69</v>
      </c>
    </row>
    <row r="9" customFormat="false" ht="15" hidden="false" customHeight="false" outlineLevel="0" collapsed="false">
      <c r="A9" s="2" t="s">
        <v>70</v>
      </c>
      <c r="B9" s="20" t="n">
        <v>300</v>
      </c>
      <c r="C9" s="2" t="s">
        <v>63</v>
      </c>
      <c r="D9" s="2" t="s">
        <v>71</v>
      </c>
    </row>
    <row r="10" customFormat="false" ht="15" hidden="false" customHeight="false" outlineLevel="0" collapsed="false">
      <c r="A10" s="2" t="s">
        <v>72</v>
      </c>
      <c r="B10" s="21" t="n">
        <v>5</v>
      </c>
      <c r="C10" s="2" t="s">
        <v>66</v>
      </c>
      <c r="D10" s="2" t="s">
        <v>67</v>
      </c>
    </row>
    <row r="11" customFormat="false" ht="15" hidden="false" customHeight="false" outlineLevel="0" collapsed="false">
      <c r="A11" s="2" t="s">
        <v>73</v>
      </c>
      <c r="B11" s="22" t="n">
        <v>46307</v>
      </c>
      <c r="C11" s="2" t="s">
        <v>74</v>
      </c>
      <c r="D11" s="2" t="s">
        <v>75</v>
      </c>
    </row>
    <row r="12" customFormat="false" ht="15" hidden="false" customHeight="false" outlineLevel="0" collapsed="false">
      <c r="A12" s="2" t="s">
        <v>76</v>
      </c>
      <c r="B12" s="23" t="n">
        <v>22</v>
      </c>
      <c r="C12" s="2" t="s">
        <v>77</v>
      </c>
      <c r="D12" s="2" t="s">
        <v>78</v>
      </c>
    </row>
    <row r="13" customFormat="false" ht="15" hidden="false" customHeight="false" outlineLevel="0" collapsed="false">
      <c r="A13" s="2" t="s">
        <v>79</v>
      </c>
      <c r="B13" s="21" t="n">
        <v>29</v>
      </c>
      <c r="C13" s="2" t="s">
        <v>77</v>
      </c>
      <c r="D13" s="2" t="s">
        <v>80</v>
      </c>
    </row>
    <row r="14" customFormat="false" ht="15" hidden="false" customHeight="false" outlineLevel="0" collapsed="false">
      <c r="A14" s="2" t="s">
        <v>81</v>
      </c>
      <c r="B14" s="24" t="n">
        <v>0.1383</v>
      </c>
      <c r="C14" s="2" t="s">
        <v>82</v>
      </c>
      <c r="D14" s="2" t="s">
        <v>83</v>
      </c>
    </row>
    <row r="15" customFormat="false" ht="15" hidden="false" customHeight="false" outlineLevel="0" collapsed="false">
      <c r="A15" s="2" t="s">
        <v>84</v>
      </c>
      <c r="B15" s="25" t="n">
        <v>1.5</v>
      </c>
      <c r="C15" s="2" t="s">
        <v>63</v>
      </c>
      <c r="D15" s="2" t="s">
        <v>85</v>
      </c>
    </row>
    <row r="16" customFormat="false" ht="15" hidden="false" customHeight="false" outlineLevel="0" collapsed="false">
      <c r="A16" s="2" t="s">
        <v>86</v>
      </c>
      <c r="B16" s="26" t="n">
        <v>0.1</v>
      </c>
      <c r="C16" s="2" t="s">
        <v>87</v>
      </c>
      <c r="D16" s="2" t="s">
        <v>88</v>
      </c>
    </row>
    <row r="17" customFormat="false" ht="15" hidden="false" customHeight="false" outlineLevel="0" collapsed="false">
      <c r="A17" s="2" t="s">
        <v>89</v>
      </c>
      <c r="B17" s="25" t="n">
        <v>0.27</v>
      </c>
      <c r="C17" s="2" t="s">
        <v>63</v>
      </c>
      <c r="D17" s="2" t="s">
        <v>90</v>
      </c>
    </row>
    <row r="18" customFormat="false" ht="15" hidden="false" customHeight="false" outlineLevel="0" collapsed="false">
      <c r="A18" s="2" t="s">
        <v>91</v>
      </c>
      <c r="B18" s="25" t="n">
        <v>0.04</v>
      </c>
      <c r="C18" s="2" t="s">
        <v>63</v>
      </c>
      <c r="D18" s="2" t="s">
        <v>92</v>
      </c>
    </row>
    <row r="19" customFormat="false" ht="15" hidden="false" customHeight="false" outlineLevel="0" collapsed="false">
      <c r="A19" s="18" t="s">
        <v>93</v>
      </c>
      <c r="B19" s="19"/>
      <c r="C19" s="19"/>
      <c r="D19" s="19"/>
    </row>
    <row r="20" customFormat="false" ht="15" hidden="false" customHeight="false" outlineLevel="0" collapsed="false">
      <c r="A20" s="2" t="s">
        <v>94</v>
      </c>
      <c r="B20" s="26" t="n">
        <v>0.7</v>
      </c>
      <c r="C20" s="2" t="s">
        <v>87</v>
      </c>
      <c r="D20" s="2" t="s">
        <v>95</v>
      </c>
    </row>
    <row r="21" customFormat="false" ht="15" hidden="false" customHeight="false" outlineLevel="0" collapsed="false">
      <c r="A21" s="2" t="s">
        <v>96</v>
      </c>
      <c r="B21" s="27" t="n">
        <f aca="false">1-Premissas!$B$20</f>
        <v>0.3</v>
      </c>
      <c r="C21" s="2" t="s">
        <v>87</v>
      </c>
      <c r="D21" s="2"/>
    </row>
    <row r="22" customFormat="false" ht="15" hidden="false" customHeight="false" outlineLevel="0" collapsed="false">
      <c r="A22" s="18" t="s">
        <v>97</v>
      </c>
      <c r="B22" s="19"/>
      <c r="C22" s="19"/>
      <c r="D22" s="19"/>
    </row>
    <row r="23" customFormat="false" ht="15" hidden="false" customHeight="false" outlineLevel="0" collapsed="false">
      <c r="A23" s="2" t="s">
        <v>98</v>
      </c>
      <c r="B23" s="26" t="n">
        <v>0.17</v>
      </c>
      <c r="C23" s="2" t="s">
        <v>87</v>
      </c>
      <c r="D23" s="2" t="s">
        <v>99</v>
      </c>
    </row>
    <row r="24" customFormat="false" ht="15" hidden="false" customHeight="false" outlineLevel="0" collapsed="false">
      <c r="A24" s="2" t="s">
        <v>100</v>
      </c>
      <c r="B24" s="26" t="n">
        <v>0.1</v>
      </c>
      <c r="C24" s="2" t="s">
        <v>87</v>
      </c>
      <c r="D24" s="2" t="s">
        <v>101</v>
      </c>
    </row>
    <row r="25" customFormat="false" ht="15" hidden="false" customHeight="false" outlineLevel="0" collapsed="false">
      <c r="A25" s="18" t="s">
        <v>102</v>
      </c>
      <c r="B25" s="19"/>
      <c r="C25" s="19"/>
      <c r="D25" s="19"/>
    </row>
    <row r="26" customFormat="false" ht="15" hidden="false" customHeight="false" outlineLevel="0" collapsed="false">
      <c r="A26" s="2" t="s">
        <v>103</v>
      </c>
      <c r="B26" s="25" t="n">
        <v>30</v>
      </c>
      <c r="C26" s="2" t="s">
        <v>104</v>
      </c>
      <c r="D26" s="2" t="s">
        <v>67</v>
      </c>
    </row>
    <row r="27" customFormat="false" ht="15" hidden="false" customHeight="false" outlineLevel="0" collapsed="false">
      <c r="A27" s="2" t="s">
        <v>105</v>
      </c>
      <c r="B27" s="25" t="n">
        <v>19.99</v>
      </c>
      <c r="C27" s="2" t="s">
        <v>106</v>
      </c>
      <c r="D27" s="2" t="s">
        <v>107</v>
      </c>
    </row>
    <row r="28" customFormat="false" ht="15" hidden="false" customHeight="false" outlineLevel="0" collapsed="false">
      <c r="A28" s="2" t="s">
        <v>108</v>
      </c>
      <c r="B28" s="25" t="n">
        <v>4.99</v>
      </c>
      <c r="C28" s="2" t="s">
        <v>106</v>
      </c>
      <c r="D28" s="2" t="s">
        <v>107</v>
      </c>
    </row>
    <row r="29" customFormat="false" ht="15" hidden="false" customHeight="false" outlineLevel="0" collapsed="false">
      <c r="A29" s="2" t="s">
        <v>109</v>
      </c>
      <c r="B29" s="28" t="n">
        <v>0.0699</v>
      </c>
      <c r="C29" s="2" t="s">
        <v>87</v>
      </c>
      <c r="D29" s="2" t="s">
        <v>110</v>
      </c>
    </row>
    <row r="30" customFormat="false" ht="15" hidden="false" customHeight="false" outlineLevel="0" collapsed="false">
      <c r="A30" s="2" t="s">
        <v>111</v>
      </c>
      <c r="B30" s="25" t="n">
        <v>2.49</v>
      </c>
      <c r="C30" s="2" t="s">
        <v>106</v>
      </c>
      <c r="D30" s="2" t="s">
        <v>110</v>
      </c>
    </row>
    <row r="31" customFormat="false" ht="15" hidden="false" customHeight="false" outlineLevel="0" collapsed="false">
      <c r="A31" s="2" t="s">
        <v>112</v>
      </c>
      <c r="B31" s="28" t="n">
        <v>0.0099</v>
      </c>
      <c r="C31" s="2" t="s">
        <v>87</v>
      </c>
      <c r="D31" s="2" t="s">
        <v>113</v>
      </c>
    </row>
    <row r="32" customFormat="false" ht="15" hidden="false" customHeight="false" outlineLevel="0" collapsed="false">
      <c r="A32" s="2" t="s">
        <v>114</v>
      </c>
      <c r="B32" s="25" t="n">
        <v>1</v>
      </c>
      <c r="C32" s="2" t="s">
        <v>63</v>
      </c>
      <c r="D32" s="2" t="s">
        <v>113</v>
      </c>
    </row>
    <row r="33" customFormat="false" ht="15" hidden="false" customHeight="false" outlineLevel="0" collapsed="false">
      <c r="A33" s="2" t="s">
        <v>115</v>
      </c>
      <c r="B33" s="28" t="n">
        <v>0.0498</v>
      </c>
      <c r="C33" s="2" t="s">
        <v>87</v>
      </c>
      <c r="D33" s="2" t="s">
        <v>113</v>
      </c>
    </row>
    <row r="34" customFormat="false" ht="15" hidden="false" customHeight="false" outlineLevel="0" collapsed="false">
      <c r="A34" s="2" t="s">
        <v>116</v>
      </c>
      <c r="B34" s="26" t="n">
        <v>0.5</v>
      </c>
      <c r="C34" s="2" t="s">
        <v>87</v>
      </c>
      <c r="D34" s="2" t="s">
        <v>117</v>
      </c>
    </row>
    <row r="35" customFormat="false" ht="15" hidden="false" customHeight="false" outlineLevel="0" collapsed="false">
      <c r="A35" s="2" t="s">
        <v>118</v>
      </c>
      <c r="B35" s="25" t="n">
        <v>9.99</v>
      </c>
      <c r="C35" s="2" t="s">
        <v>106</v>
      </c>
      <c r="D35" s="2" t="s">
        <v>119</v>
      </c>
    </row>
    <row r="36" customFormat="false" ht="15" hidden="false" customHeight="false" outlineLevel="0" collapsed="false">
      <c r="A36" s="2" t="s">
        <v>120</v>
      </c>
      <c r="B36" s="20" t="n">
        <v>25</v>
      </c>
      <c r="C36" s="2" t="s">
        <v>106</v>
      </c>
      <c r="D36" s="2" t="s">
        <v>121</v>
      </c>
    </row>
    <row r="37" customFormat="false" ht="15" hidden="false" customHeight="false" outlineLevel="0" collapsed="false">
      <c r="A37" s="2" t="s">
        <v>122</v>
      </c>
      <c r="B37" s="26" t="n">
        <v>0</v>
      </c>
      <c r="C37" s="2" t="s">
        <v>87</v>
      </c>
      <c r="D37" s="2" t="s">
        <v>123</v>
      </c>
    </row>
    <row r="38" customFormat="false" ht="15" hidden="false" customHeight="false" outlineLevel="0" collapsed="false">
      <c r="A38" s="2" t="s">
        <v>124</v>
      </c>
      <c r="B38" s="25" t="n">
        <v>53.5</v>
      </c>
      <c r="C38" s="2" t="s">
        <v>125</v>
      </c>
      <c r="D38" s="2" t="s">
        <v>80</v>
      </c>
    </row>
    <row r="39" customFormat="false" ht="15" hidden="false" customHeight="false" outlineLevel="0" collapsed="false">
      <c r="A39" s="18" t="s">
        <v>126</v>
      </c>
      <c r="B39" s="19"/>
      <c r="C39" s="19"/>
      <c r="D39" s="19"/>
    </row>
    <row r="40" customFormat="false" ht="23.85" hidden="false" customHeight="false" outlineLevel="0" collapsed="false">
      <c r="A40" s="3" t="s">
        <v>127</v>
      </c>
      <c r="B40" s="3" t="s">
        <v>128</v>
      </c>
      <c r="C40" s="3" t="s">
        <v>129</v>
      </c>
      <c r="D40" s="3" t="s">
        <v>130</v>
      </c>
    </row>
    <row r="41" customFormat="false" ht="15" hidden="false" customHeight="false" outlineLevel="0" collapsed="false">
      <c r="A41" s="2" t="s">
        <v>131</v>
      </c>
      <c r="B41" s="25" t="n">
        <v>129.9</v>
      </c>
      <c r="C41" s="25" t="n">
        <v>116.91</v>
      </c>
      <c r="D41" s="24" t="n">
        <v>1</v>
      </c>
    </row>
    <row r="42" customFormat="false" ht="15" hidden="false" customHeight="false" outlineLevel="0" collapsed="false">
      <c r="A42" s="2" t="s">
        <v>132</v>
      </c>
      <c r="B42" s="25" t="n">
        <v>233.82</v>
      </c>
      <c r="C42" s="25" t="n">
        <v>207.84</v>
      </c>
      <c r="D42" s="24" t="n">
        <v>0</v>
      </c>
    </row>
    <row r="43" customFormat="false" ht="15" hidden="false" customHeight="false" outlineLevel="0" collapsed="false">
      <c r="A43" s="2" t="s">
        <v>133</v>
      </c>
      <c r="B43" s="25" t="n">
        <v>311.76</v>
      </c>
      <c r="C43" s="25" t="n">
        <v>272.79</v>
      </c>
      <c r="D43" s="24" t="n">
        <v>0</v>
      </c>
    </row>
    <row r="44" customFormat="false" ht="15" hidden="false" customHeight="false" outlineLevel="0" collapsed="false">
      <c r="A44" s="2" t="s">
        <v>134</v>
      </c>
      <c r="D44" s="27" t="n">
        <f aca="false">SUM(D41:D43)</f>
        <v>1</v>
      </c>
    </row>
    <row r="45" customFormat="false" ht="15" hidden="false" customHeight="false" outlineLevel="0" collapsed="false">
      <c r="A45" s="2" t="s">
        <v>135</v>
      </c>
      <c r="B45" s="29" t="n">
        <f aca="false">1*D41+2*D42+3*D43</f>
        <v>1</v>
      </c>
      <c r="C45" s="2" t="s">
        <v>136</v>
      </c>
      <c r="D45" s="2"/>
    </row>
    <row r="46" customFormat="false" ht="15" hidden="false" customHeight="false" outlineLevel="0" collapsed="false">
      <c r="A46" s="2" t="s">
        <v>137</v>
      </c>
      <c r="B46" s="12" t="n">
        <f aca="false">SUMPRODUCT(B41:B43,D41:D43)</f>
        <v>129.9</v>
      </c>
      <c r="C46" s="2" t="s">
        <v>63</v>
      </c>
      <c r="D46" s="2"/>
    </row>
    <row r="47" customFormat="false" ht="15" hidden="false" customHeight="false" outlineLevel="0" collapsed="false">
      <c r="A47" s="2" t="s">
        <v>138</v>
      </c>
      <c r="B47" s="12" t="n">
        <f aca="false">SUMPRODUCT(C41:C43,D41:D43)</f>
        <v>116.91</v>
      </c>
      <c r="C47" s="2" t="s">
        <v>63</v>
      </c>
      <c r="D47" s="2"/>
    </row>
    <row r="48" customFormat="false" ht="15" hidden="false" customHeight="false" outlineLevel="0" collapsed="false">
      <c r="A48" s="18" t="s">
        <v>139</v>
      </c>
      <c r="B48" s="19"/>
      <c r="C48" s="19"/>
      <c r="D48" s="19"/>
    </row>
    <row r="49" customFormat="false" ht="15" hidden="false" customHeight="false" outlineLevel="0" collapsed="false">
      <c r="A49" s="2" t="s">
        <v>140</v>
      </c>
      <c r="B49" s="23" t="n">
        <v>2</v>
      </c>
      <c r="C49" s="2" t="s">
        <v>66</v>
      </c>
      <c r="D49" s="2" t="s">
        <v>141</v>
      </c>
    </row>
    <row r="50" customFormat="false" ht="15" hidden="false" customHeight="false" outlineLevel="0" collapsed="false">
      <c r="A50" s="2" t="s">
        <v>142</v>
      </c>
      <c r="B50" s="21" t="n">
        <v>14</v>
      </c>
      <c r="C50" s="2" t="s">
        <v>66</v>
      </c>
      <c r="D50" s="2" t="s">
        <v>143</v>
      </c>
    </row>
    <row r="51" customFormat="false" ht="15" hidden="false" customHeight="false" outlineLevel="0" collapsed="false">
      <c r="A51" s="2" t="s">
        <v>144</v>
      </c>
      <c r="B51" s="21" t="n">
        <v>0</v>
      </c>
      <c r="C51" s="2" t="s">
        <v>66</v>
      </c>
      <c r="D51" s="2" t="s">
        <v>145</v>
      </c>
    </row>
    <row r="52" customFormat="false" ht="15" hidden="false" customHeight="false" outlineLevel="0" collapsed="false">
      <c r="A52" s="2" t="s">
        <v>146</v>
      </c>
      <c r="B52" s="23" t="n">
        <v>7</v>
      </c>
      <c r="C52" s="2" t="s">
        <v>66</v>
      </c>
      <c r="D52" s="2" t="s">
        <v>147</v>
      </c>
    </row>
    <row r="53" customFormat="false" ht="15" hidden="false" customHeight="false" outlineLevel="0" collapsed="false">
      <c r="A53" s="18" t="s">
        <v>148</v>
      </c>
      <c r="B53" s="19"/>
      <c r="C53" s="19"/>
      <c r="D53" s="19"/>
    </row>
    <row r="54" customFormat="false" ht="15" hidden="false" customHeight="false" outlineLevel="0" collapsed="false">
      <c r="A54" s="2" t="s">
        <v>149</v>
      </c>
      <c r="B54" s="21" t="n">
        <v>1</v>
      </c>
      <c r="C54" s="2" t="s">
        <v>150</v>
      </c>
      <c r="D54" s="2" t="s">
        <v>151</v>
      </c>
    </row>
    <row r="55" customFormat="false" ht="15" hidden="false" customHeight="false" outlineLevel="0" collapsed="false">
      <c r="A55" s="2" t="s">
        <v>152</v>
      </c>
      <c r="B55" s="23" t="n">
        <v>1</v>
      </c>
      <c r="C55" s="2" t="s">
        <v>150</v>
      </c>
      <c r="D55" s="2" t="s">
        <v>153</v>
      </c>
    </row>
    <row r="56" customFormat="false" ht="15" hidden="false" customHeight="false" outlineLevel="0" collapsed="false">
      <c r="A56" s="18" t="s">
        <v>154</v>
      </c>
      <c r="B56" s="19"/>
      <c r="C56" s="19"/>
      <c r="D56" s="19"/>
    </row>
    <row r="57" customFormat="false" ht="15" hidden="false" customHeight="false" outlineLevel="0" collapsed="false">
      <c r="A57" s="2" t="s">
        <v>155</v>
      </c>
      <c r="B57" s="25" t="n">
        <v>1325</v>
      </c>
      <c r="C57" s="2" t="s">
        <v>63</v>
      </c>
      <c r="D57" s="2" t="s">
        <v>156</v>
      </c>
    </row>
    <row r="58" customFormat="false" ht="15" hidden="false" customHeight="false" outlineLevel="0" collapsed="false">
      <c r="A58" s="2" t="s">
        <v>157</v>
      </c>
      <c r="B58" s="25" t="n">
        <v>250</v>
      </c>
      <c r="C58" s="2" t="s">
        <v>63</v>
      </c>
      <c r="D58" s="2" t="s">
        <v>80</v>
      </c>
    </row>
    <row r="59" customFormat="false" ht="15" hidden="false" customHeight="false" outlineLevel="0" collapsed="false">
      <c r="A59" s="2" t="s">
        <v>158</v>
      </c>
      <c r="B59" s="25" t="n">
        <v>3.99</v>
      </c>
      <c r="C59" s="2" t="s">
        <v>159</v>
      </c>
      <c r="D59" s="2" t="s">
        <v>160</v>
      </c>
    </row>
    <row r="60" customFormat="false" ht="15" hidden="false" customHeight="false" outlineLevel="0" collapsed="false">
      <c r="A60" s="2" t="s">
        <v>161</v>
      </c>
      <c r="B60" s="23" t="n">
        <v>1</v>
      </c>
      <c r="C60" s="2" t="s">
        <v>162</v>
      </c>
      <c r="D60" s="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164</v>
      </c>
    </row>
    <row r="3" customFormat="false" ht="15" hidden="false" customHeight="false" outlineLevel="0" collapsed="false">
      <c r="A3" s="3" t="s">
        <v>165</v>
      </c>
      <c r="B3" s="3" t="s">
        <v>166</v>
      </c>
      <c r="C3" s="3" t="s">
        <v>167</v>
      </c>
      <c r="D3" s="3" t="s">
        <v>168</v>
      </c>
    </row>
    <row r="4" customFormat="false" ht="15" hidden="false" customHeight="false" outlineLevel="0" collapsed="false">
      <c r="A4" s="2" t="s">
        <v>169</v>
      </c>
      <c r="B4" s="12" t="n">
        <f aca="false">Premissas!$B$46</f>
        <v>129.9</v>
      </c>
      <c r="C4" s="12" t="n">
        <f aca="false">Premissas!$B$47</f>
        <v>116.91</v>
      </c>
      <c r="D4" s="2"/>
    </row>
    <row r="5" customFormat="false" ht="15" hidden="false" customHeight="false" outlineLevel="0" collapsed="false">
      <c r="A5" s="2" t="s">
        <v>170</v>
      </c>
      <c r="B5" s="12" t="n">
        <f aca="false">-Premissas!$B$26*Premissas!$B$45</f>
        <v>-30</v>
      </c>
      <c r="C5" s="12" t="n">
        <f aca="false">-Premissas!$B$26*Premissas!$B$45</f>
        <v>-30</v>
      </c>
      <c r="D5" s="2" t="s">
        <v>171</v>
      </c>
    </row>
    <row r="6" customFormat="false" ht="15" hidden="false" customHeight="false" outlineLevel="0" collapsed="false">
      <c r="A6" s="2" t="s">
        <v>172</v>
      </c>
      <c r="B6" s="12" t="n">
        <f aca="false">-(Premissas!$B$29*Premissas!$B$46+Premissas!$B$30)</f>
        <v>-11.57001</v>
      </c>
      <c r="C6" s="12" t="n">
        <f aca="false">-(Premissas!$B$34*(Premissas!$B$31*Premissas!$B$47+Premissas!$B$32)+(1-Premissas!$B$34)*Premissas!$B$33*Premissas!$B$47)</f>
        <v>-3.9897635</v>
      </c>
      <c r="D6" s="2"/>
    </row>
    <row r="7" customFormat="false" ht="15" hidden="false" customHeight="false" outlineLevel="0" collapsed="false">
      <c r="A7" s="2" t="s">
        <v>173</v>
      </c>
      <c r="B7" s="12" t="n">
        <f aca="false">-Premissas!$B$27</f>
        <v>-19.99</v>
      </c>
      <c r="C7" s="12" t="n">
        <f aca="false">0</f>
        <v>0</v>
      </c>
      <c r="D7" s="2" t="s">
        <v>174</v>
      </c>
    </row>
    <row r="8" customFormat="false" ht="15" hidden="false" customHeight="false" outlineLevel="0" collapsed="false">
      <c r="A8" s="2" t="s">
        <v>108</v>
      </c>
      <c r="B8" s="12" t="n">
        <f aca="false">-Premissas!$B$28</f>
        <v>-4.99</v>
      </c>
      <c r="C8" s="12" t="n">
        <f aca="false">-Premissas!$B$28</f>
        <v>-4.99</v>
      </c>
      <c r="D8" s="2"/>
    </row>
    <row r="9" customFormat="false" ht="15" hidden="false" customHeight="false" outlineLevel="0" collapsed="false">
      <c r="A9" s="13" t="s">
        <v>175</v>
      </c>
      <c r="B9" s="14" t="n">
        <f aca="false">SUM(B4:B8)</f>
        <v>63.34999</v>
      </c>
      <c r="C9" s="14" t="n">
        <f aca="false">SUM(C4:C8)</f>
        <v>77.9302365</v>
      </c>
      <c r="D9" s="2"/>
    </row>
    <row r="10" customFormat="false" ht="15" hidden="false" customHeight="false" outlineLevel="0" collapsed="false">
      <c r="A10" s="2" t="s">
        <v>176</v>
      </c>
      <c r="B10" s="12" t="n">
        <f aca="false">-Premissas!$B$23*(B9+Premissas!$B$35)</f>
        <v>-12.4677983</v>
      </c>
      <c r="C10" s="12" t="n">
        <f aca="false">0</f>
        <v>0</v>
      </c>
      <c r="D10" s="2" t="s">
        <v>177</v>
      </c>
    </row>
    <row r="11" customFormat="false" ht="15" hidden="false" customHeight="false" outlineLevel="0" collapsed="false">
      <c r="A11" s="2" t="s">
        <v>178</v>
      </c>
      <c r="B11" s="12" t="n">
        <f aca="false">-Premissas!$B$24*(B9+Premissas!$B$36)</f>
        <v>-8.834999</v>
      </c>
      <c r="C11" s="12" t="n">
        <f aca="false">-Premissas!$B$24*(C9+Premissas!$B$36-C6)</f>
        <v>-10.692</v>
      </c>
      <c r="D11" s="2" t="s">
        <v>179</v>
      </c>
    </row>
    <row r="12" customFormat="false" ht="15" hidden="false" customHeight="false" outlineLevel="0" collapsed="false">
      <c r="A12" s="13" t="s">
        <v>180</v>
      </c>
      <c r="B12" s="14" t="n">
        <f aca="false">SUM(B9:B11)</f>
        <v>42.0471927</v>
      </c>
      <c r="C12" s="14" t="n">
        <f aca="false">SUM(C9:C11)</f>
        <v>67.2382365</v>
      </c>
      <c r="D12" s="2"/>
    </row>
    <row r="13" customFormat="false" ht="15" hidden="false" customHeight="false" outlineLevel="0" collapsed="false">
      <c r="A13" s="2" t="s">
        <v>181</v>
      </c>
      <c r="B13" s="12" t="n">
        <f aca="false">-Premissas!$B$15/Premissas!$B$16</f>
        <v>-15</v>
      </c>
      <c r="C13" s="12" t="n">
        <f aca="false">-Premissas!$B$15/Premissas!$B$16</f>
        <v>-15</v>
      </c>
      <c r="D13" s="2"/>
    </row>
    <row r="14" customFormat="false" ht="15" hidden="false" customHeight="false" outlineLevel="0" collapsed="false">
      <c r="A14" s="2" t="s">
        <v>182</v>
      </c>
      <c r="B14" s="12" t="n">
        <f aca="false">-Premissas!$B$17/Premissas!$B$16</f>
        <v>-2.7</v>
      </c>
      <c r="C14" s="12" t="n">
        <f aca="false">-Premissas!$B$17/Premissas!$B$16</f>
        <v>-2.7</v>
      </c>
      <c r="D14" s="2"/>
    </row>
    <row r="15" customFormat="false" ht="15" hidden="false" customHeight="false" outlineLevel="0" collapsed="false">
      <c r="A15" s="2" t="s">
        <v>183</v>
      </c>
      <c r="B15" s="12" t="n">
        <f aca="false">-Premissas!$B$18</f>
        <v>-0.04</v>
      </c>
      <c r="C15" s="12" t="n">
        <f aca="false">-Premissas!$B$18</f>
        <v>-0.04</v>
      </c>
      <c r="D15" s="2"/>
    </row>
    <row r="16" customFormat="false" ht="15" hidden="false" customHeight="false" outlineLevel="0" collapsed="false">
      <c r="A16" s="2" t="s">
        <v>184</v>
      </c>
      <c r="B16" s="12" t="n">
        <f aca="false">-Premissas!$B$37*Premissas!$B$46*(1-Premissas!$B$23-Premissas!$B$24)</f>
        <v>-0</v>
      </c>
      <c r="C16" s="12" t="n">
        <f aca="false">-Premissas!$B$37*Premissas!$B$47*(1-Premissas!$B$24)</f>
        <v>-0</v>
      </c>
      <c r="D16" s="2"/>
    </row>
    <row r="17" customFormat="false" ht="15" hidden="false" customHeight="false" outlineLevel="0" collapsed="false">
      <c r="A17" s="13" t="s">
        <v>185</v>
      </c>
      <c r="B17" s="14" t="n">
        <f aca="false">SUM(B12:B16)</f>
        <v>24.3071927</v>
      </c>
      <c r="C17" s="14" t="n">
        <f aca="false">SUM(C12:C16)</f>
        <v>49.4982365</v>
      </c>
      <c r="D17" s="2"/>
    </row>
    <row r="18" customFormat="false" ht="15" hidden="false" customHeight="false" outlineLevel="0" collapsed="false">
      <c r="A18" s="13" t="s">
        <v>186</v>
      </c>
      <c r="B18" s="14" t="n">
        <f aca="false">Premissas!$B$20*B17+Premissas!$B$21*C17</f>
        <v>31.86450584</v>
      </c>
    </row>
    <row r="20" customFormat="false" ht="15" hidden="false" customHeight="false" outlineLevel="0" collapsed="false">
      <c r="A20" s="13" t="s">
        <v>187</v>
      </c>
    </row>
    <row r="21" customFormat="false" ht="15" hidden="false" customHeight="false" outlineLevel="0" collapsed="false">
      <c r="A21" s="2" t="s">
        <v>188</v>
      </c>
      <c r="B21" s="27" t="n">
        <f aca="false">1-Premissas!$B$23-Premissas!$B$24</f>
        <v>0.73</v>
      </c>
    </row>
    <row r="22" customFormat="false" ht="15" hidden="false" customHeight="false" outlineLevel="0" collapsed="false">
      <c r="A22" s="2" t="s">
        <v>189</v>
      </c>
      <c r="B22" s="12" t="n">
        <f aca="false">Premissas!$B$26*Premissas!$B$45</f>
        <v>30</v>
      </c>
    </row>
    <row r="23" customFormat="false" ht="15" hidden="false" customHeight="false" outlineLevel="0" collapsed="false">
      <c r="A23" s="2" t="s">
        <v>190</v>
      </c>
      <c r="B23" s="12" t="n">
        <f aca="false">-(B6+B7+B8)</f>
        <v>36.55001</v>
      </c>
    </row>
    <row r="24" customFormat="false" ht="15" hidden="false" customHeight="false" outlineLevel="0" collapsed="false">
      <c r="A24" s="2" t="s">
        <v>191</v>
      </c>
      <c r="B24" s="12" t="n">
        <f aca="false">Unitário!$B$21*Unitário!$B$23+Premissas!$B$23*Premissas!$B$35+Premissas!$B$24*Premissas!$B$36</f>
        <v>30.8798073</v>
      </c>
    </row>
    <row r="25" customFormat="false" ht="15" hidden="false" customHeight="false" outlineLevel="0" collapsed="false">
      <c r="A25" s="2" t="s">
        <v>192</v>
      </c>
      <c r="B25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3" min="2" style="0" width="15"/>
  </cols>
  <sheetData>
    <row r="1" customFormat="false" ht="15" hidden="false" customHeight="false" outlineLevel="0" collapsed="false">
      <c r="A1" s="11" t="s">
        <v>193</v>
      </c>
    </row>
    <row r="2" customFormat="false" ht="15" hidden="false" customHeight="false" outlineLevel="0" collapsed="false">
      <c r="A2" s="2" t="s">
        <v>194</v>
      </c>
    </row>
    <row r="4" customFormat="false" ht="66" hidden="false" customHeight="true" outlineLevel="0" collapsed="false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  <c r="F4" s="3" t="s">
        <v>200</v>
      </c>
      <c r="G4" s="3" t="s">
        <v>201</v>
      </c>
      <c r="H4" s="3" t="s">
        <v>202</v>
      </c>
      <c r="I4" s="3" t="s">
        <v>203</v>
      </c>
      <c r="J4" s="3" t="s">
        <v>204</v>
      </c>
      <c r="K4" s="3" t="s">
        <v>205</v>
      </c>
      <c r="L4" s="3" t="s">
        <v>206</v>
      </c>
      <c r="M4" s="3" t="s">
        <v>207</v>
      </c>
      <c r="N4" s="3" t="s">
        <v>208</v>
      </c>
      <c r="O4" s="3" t="s">
        <v>209</v>
      </c>
      <c r="P4" s="3" t="s">
        <v>210</v>
      </c>
      <c r="Q4" s="3" t="s">
        <v>211</v>
      </c>
      <c r="R4" s="3" t="s">
        <v>212</v>
      </c>
      <c r="S4" s="3" t="s">
        <v>213</v>
      </c>
      <c r="T4" s="3" t="s">
        <v>214</v>
      </c>
      <c r="U4" s="3" t="s">
        <v>215</v>
      </c>
      <c r="V4" s="3" t="s">
        <v>216</v>
      </c>
      <c r="W4" s="3" t="s">
        <v>217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46307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IF(C5&gt;0,IF(DAY(B5)&lt;=Premissas!$B$12,DATE(YEAR(B5),MONTH(B5),Premissas!$B$13),DATE(YEAR(B5),MONTH(B5)+1,Premissas!$B$13))-Premissas!$B$11+1,0)</f>
        <v>18</v>
      </c>
      <c r="E5" s="12" t="n">
        <f aca="false">-SUMIF($D$5:$D$94,A5,$C$5:$C$94)*(1+Premissas!$B$14)</f>
        <v>-0</v>
      </c>
      <c r="F5" s="12" t="n">
        <f aca="false">-SUMIF($W$5:$W$94,A5,$V$5:$V$94)</f>
        <v>-0</v>
      </c>
      <c r="G5" s="29" t="n">
        <f aca="false">C5/Premissas!$B$15*Premissas!$B$16*Premissas!$B$20</f>
        <v>3.5</v>
      </c>
      <c r="H5" s="29" t="n">
        <f aca="false">C5/Premissas!$B$15*Premissas!$B$16*Premissas!$B$21</f>
        <v>1.5</v>
      </c>
      <c r="I5" s="12" t="n">
        <f aca="false">-G5*(Premissas!$B$54*Unitário!$B$22+Premissas!$B$55*Unitário!$B$23)</f>
        <v>-232.925035</v>
      </c>
      <c r="J5" s="12" t="n">
        <f aca="false">IF($A5-(Premissas!$B$49)&gt;=1,INDEX($G$5:$G$94,$A5-(Premissas!$B$49)),0)*Premissas!$B$23*((Premissas!$B$54*Unitário!$B$22+Premissas!$B$55*Unitário!$B$23)-Premissas!$B$35)</f>
        <v>0</v>
      </c>
      <c r="K5" s="12" t="n">
        <f aca="false">IF($A5-(Premissas!$B$49+Premissas!$B$52)&gt;=1,INDEX($G$5:$G$94,$A5-(Premissas!$B$49+Premissas!$B$52)),0)*Premissas!$B$24*((Premissas!$B$54*Unitário!$B$22+Premissas!$B$55*Unitário!$B$23)-Premissas!$B$36)</f>
        <v>0</v>
      </c>
      <c r="L5" s="12" t="n">
        <f aca="false">IF($A5-(Premissas!$B$49+Premissas!$B$50)&gt;=1,INDEX($G$5:$G$94,$A5-(Premissas!$B$49+Premissas!$B$50)),0)*Unitário!$B$21*(Premissas!$B$46-(1-Premissas!$B$55)*Unitário!$B$23-(1-Premissas!$B$54)*Unitário!$B$22)</f>
        <v>0</v>
      </c>
      <c r="M5" s="12" t="n">
        <f aca="false">IF($A5-(Premissas!$B$51)&gt;=1,INDEX($H$5:$H$94,$A5-(Premissas!$B$51)),0)*(Premissas!$B$47-Unitário!$B$25)</f>
        <v>169.38035475</v>
      </c>
      <c r="N5" s="12" t="n">
        <f aca="false">-H5*(Premissas!$B$54*Unitário!$B$22+Premissas!$B$28)</f>
        <v>-52.485</v>
      </c>
      <c r="O5" s="12" t="n">
        <f aca="false">IF($A5-(Premissas!$B$49+Premissas!$B$52)&gt;=1,INDEX($H$5:$H$94,$A5-(Premissas!$B$49+Premissas!$B$52)),0)*Premissas!$B$24*(-Premissas!$B$47-Premissas!$B$36+Premissas!$B$28+Premissas!$B$54*Unitário!$B$22)</f>
        <v>-0</v>
      </c>
      <c r="P5" s="12" t="n">
        <f aca="false">-Premissas!$B$37*(IF($A5-(Premissas!$B$49+Premissas!$B$50)&gt;=1,INDEX($G$5:$G$94,$A5-(Premissas!$B$49+Premissas!$B$50)),0)*Unitário!$B$21*Premissas!$B$46+IF($A5-(Premissas!$B$51)&gt;=1,INDEX($H$5:$H$94,$A5-(Premissas!$B$51)),0)*(1-Premissas!$B$24)*Premissas!$B$47)</f>
        <v>-0</v>
      </c>
      <c r="Q5" s="12" t="n">
        <f aca="false">IF(DAY(B5)=1,-(Premissas!$B$38+Premissas!$B$59*Premissas!$B$60),0)</f>
        <v>0</v>
      </c>
      <c r="R5" s="12" t="n">
        <f aca="false">E5+F5+SUM(I5:Q5)</f>
        <v>-116.02968025</v>
      </c>
      <c r="S5" s="12" t="n">
        <f aca="false">R5</f>
        <v>-116.02968025</v>
      </c>
      <c r="T5" s="15" t="n">
        <f aca="false">IF(AND($A5&gt;$B$100,S5&gt;=0),1,0)</f>
        <v>0</v>
      </c>
      <c r="U5" s="12" t="n">
        <f aca="false">S5-SUM($E$5:E5)-(1+Premissas!$B$14)*SUM($C$5:C5)</f>
        <v>-201.40218025</v>
      </c>
      <c r="V5" s="12" t="n">
        <f aca="false">C5/Premissas!$B$15*Premissas!$B$17+(G5+H5)*Premissas!$B$18</f>
        <v>13.7</v>
      </c>
      <c r="W5" s="15" t="n">
        <f aca="false">IF(V5&gt;0,DATE(YEAR(B5),MONTH(B5)+1,1)-Premissas!$B$11+1,0)</f>
        <v>21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46308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IF(C6&gt;0,IF(DAY(B6)&lt;=Premissas!$B$12,DATE(YEAR(B6),MONTH(B6),Premissas!$B$13),DATE(YEAR(B6),MONTH(B6)+1,Premissas!$B$13))-Premissas!$B$11+1,0)</f>
        <v>18</v>
      </c>
      <c r="E6" s="12" t="n">
        <f aca="false">-SUMIF($D$5:$D$94,A6,$C$5:$C$94)*(1+Premissas!$B$14)</f>
        <v>-0</v>
      </c>
      <c r="F6" s="12" t="n">
        <f aca="false">-SUMIF($W$5:$W$94,A6,$V$5:$V$94)</f>
        <v>-0</v>
      </c>
      <c r="G6" s="29" t="n">
        <f aca="false">C6/Premissas!$B$15*Premissas!$B$16*Premissas!$B$20</f>
        <v>3.5</v>
      </c>
      <c r="H6" s="29" t="n">
        <f aca="false">C6/Premissas!$B$15*Premissas!$B$16*Premissas!$B$21</f>
        <v>1.5</v>
      </c>
      <c r="I6" s="12" t="n">
        <f aca="false">-G6*(Premissas!$B$54*Unitário!$B$22+Premissas!$B$55*Unitário!$B$23)</f>
        <v>-232.925035</v>
      </c>
      <c r="J6" s="12" t="n">
        <f aca="false">IF($A6-(Premissas!$B$49)&gt;=1,INDEX($G$5:$G$94,$A6-(Premissas!$B$49)),0)*Premissas!$B$23*((Premissas!$B$54*Unitário!$B$22+Premissas!$B$55*Unitário!$B$23)-Premissas!$B$35)</f>
        <v>0</v>
      </c>
      <c r="K6" s="12" t="n">
        <f aca="false">IF($A6-(Premissas!$B$49+Premissas!$B$52)&gt;=1,INDEX($G$5:$G$94,$A6-(Premissas!$B$49+Premissas!$B$52)),0)*Premissas!$B$24*((Premissas!$B$54*Unitário!$B$22+Premissas!$B$55*Unitário!$B$23)-Premissas!$B$36)</f>
        <v>0</v>
      </c>
      <c r="L6" s="12" t="n">
        <f aca="false">IF($A6-(Premissas!$B$49+Premissas!$B$50)&gt;=1,INDEX($G$5:$G$94,$A6-(Premissas!$B$49+Premissas!$B$50)),0)*Unitário!$B$21*(Premissas!$B$46-(1-Premissas!$B$55)*Unitário!$B$23-(1-Premissas!$B$54)*Unitário!$B$22)</f>
        <v>0</v>
      </c>
      <c r="M6" s="12" t="n">
        <f aca="false">IF($A6-(Premissas!$B$51)&gt;=1,INDEX($H$5:$H$94,$A6-(Premissas!$B$51)),0)*(Premissas!$B$47-Unitário!$B$25)</f>
        <v>169.38035475</v>
      </c>
      <c r="N6" s="12" t="n">
        <f aca="false">-H6*(Premissas!$B$54*Unitário!$B$22+Premissas!$B$28)</f>
        <v>-52.485</v>
      </c>
      <c r="O6" s="12" t="n">
        <f aca="false">IF($A6-(Premissas!$B$49+Premissas!$B$52)&gt;=1,INDEX($H$5:$H$94,$A6-(Premissas!$B$49+Premissas!$B$52)),0)*Premissas!$B$24*(-Premissas!$B$47-Premissas!$B$36+Premissas!$B$28+Premissas!$B$54*Unitário!$B$22)</f>
        <v>-0</v>
      </c>
      <c r="P6" s="12" t="n">
        <f aca="false">-Premissas!$B$37*(IF($A6-(Premissas!$B$49+Premissas!$B$50)&gt;=1,INDEX($G$5:$G$94,$A6-(Premissas!$B$49+Premissas!$B$50)),0)*Unitário!$B$21*Premissas!$B$46+IF($A6-(Premissas!$B$51)&gt;=1,INDEX($H$5:$H$94,$A6-(Premissas!$B$51)),0)*(1-Premissas!$B$24)*Premissas!$B$47)</f>
        <v>-0</v>
      </c>
      <c r="Q6" s="12" t="n">
        <f aca="false">IF(DAY(B6)=1,-(Premissas!$B$38+Premissas!$B$59*Premissas!$B$60),0)</f>
        <v>0</v>
      </c>
      <c r="R6" s="12" t="n">
        <f aca="false">E6+F6+SUM(I6:Q6)</f>
        <v>-116.02968025</v>
      </c>
      <c r="S6" s="12" t="n">
        <f aca="false">S5+R6</f>
        <v>-232.0593605</v>
      </c>
      <c r="T6" s="15" t="n">
        <f aca="false">IF(AND($A6&gt;$B$100,S6&gt;=0),1,0)</f>
        <v>0</v>
      </c>
      <c r="U6" s="12" t="n">
        <f aca="false">S6-SUM($E$5:E6)-(1+Premissas!$B$14)*SUM($C$5:C6)</f>
        <v>-402.8043605</v>
      </c>
      <c r="V6" s="12" t="n">
        <f aca="false">C6/Premissas!$B$15*Premissas!$B$17+(G6+H6)*Premissas!$B$18</f>
        <v>13.7</v>
      </c>
      <c r="W6" s="15" t="n">
        <f aca="false">IF(V6&gt;0,DATE(YEAR(B6),MONTH(B6)+1,1)-Premissas!$B$11+1,0)</f>
        <v>21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46309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IF(C7&gt;0,IF(DAY(B7)&lt;=Premissas!$B$12,DATE(YEAR(B7),MONTH(B7),Premissas!$B$13),DATE(YEAR(B7),MONTH(B7)+1,Premissas!$B$13))-Premissas!$B$11+1,0)</f>
        <v>18</v>
      </c>
      <c r="E7" s="12" t="n">
        <f aca="false">-SUMIF($D$5:$D$94,A7,$C$5:$C$94)*(1+Premissas!$B$14)</f>
        <v>-0</v>
      </c>
      <c r="F7" s="12" t="n">
        <f aca="false">-SUMIF($W$5:$W$94,A7,$V$5:$V$94)</f>
        <v>-0</v>
      </c>
      <c r="G7" s="29" t="n">
        <f aca="false">C7/Premissas!$B$15*Premissas!$B$16*Premissas!$B$20</f>
        <v>3.5</v>
      </c>
      <c r="H7" s="29" t="n">
        <f aca="false">C7/Premissas!$B$15*Premissas!$B$16*Premissas!$B$21</f>
        <v>1.5</v>
      </c>
      <c r="I7" s="12" t="n">
        <f aca="false">-G7*(Premissas!$B$54*Unitário!$B$22+Premissas!$B$55*Unitário!$B$23)</f>
        <v>-232.925035</v>
      </c>
      <c r="J7" s="12" t="n">
        <f aca="false">IF($A7-(Premissas!$B$49)&gt;=1,INDEX($G$5:$G$94,$A7-(Premissas!$B$49)),0)*Premissas!$B$23*((Premissas!$B$54*Unitário!$B$22+Premissas!$B$55*Unitário!$B$23)-Premissas!$B$35)</f>
        <v>33.65320595</v>
      </c>
      <c r="K7" s="12" t="n">
        <f aca="false">IF($A7-(Premissas!$B$49+Premissas!$B$52)&gt;=1,INDEX($G$5:$G$94,$A7-(Premissas!$B$49+Premissas!$B$52)),0)*Premissas!$B$24*((Premissas!$B$54*Unitário!$B$22+Premissas!$B$55*Unitário!$B$23)-Premissas!$B$36)</f>
        <v>0</v>
      </c>
      <c r="L7" s="12" t="n">
        <f aca="false">IF($A7-(Premissas!$B$49+Premissas!$B$50)&gt;=1,INDEX($G$5:$G$94,$A7-(Premissas!$B$49+Premissas!$B$50)),0)*Unitário!$B$21*(Premissas!$B$46-(1-Premissas!$B$55)*Unitário!$B$23-(1-Premissas!$B$54)*Unitário!$B$22)</f>
        <v>0</v>
      </c>
      <c r="M7" s="12" t="n">
        <f aca="false">IF($A7-(Premissas!$B$51)&gt;=1,INDEX($H$5:$H$94,$A7-(Premissas!$B$51)),0)*(Premissas!$B$47-Unitário!$B$25)</f>
        <v>169.38035475</v>
      </c>
      <c r="N7" s="12" t="n">
        <f aca="false">-H7*(Premissas!$B$54*Unitário!$B$22+Premissas!$B$28)</f>
        <v>-52.485</v>
      </c>
      <c r="O7" s="12" t="n">
        <f aca="false">IF($A7-(Premissas!$B$49+Premissas!$B$52)&gt;=1,INDEX($H$5:$H$94,$A7-(Premissas!$B$49+Premissas!$B$52)),0)*Premissas!$B$24*(-Premissas!$B$47-Premissas!$B$36+Premissas!$B$28+Premissas!$B$54*Unitário!$B$22)</f>
        <v>-0</v>
      </c>
      <c r="P7" s="12" t="n">
        <f aca="false">-Premissas!$B$37*(IF($A7-(Premissas!$B$49+Premissas!$B$50)&gt;=1,INDEX($G$5:$G$94,$A7-(Premissas!$B$49+Premissas!$B$50)),0)*Unitário!$B$21*Premissas!$B$46+IF($A7-(Premissas!$B$51)&gt;=1,INDEX($H$5:$H$94,$A7-(Premissas!$B$51)),0)*(1-Premissas!$B$24)*Premissas!$B$47)</f>
        <v>-0</v>
      </c>
      <c r="Q7" s="12" t="n">
        <f aca="false">IF(DAY(B7)=1,-(Premissas!$B$38+Premissas!$B$59*Premissas!$B$60),0)</f>
        <v>0</v>
      </c>
      <c r="R7" s="12" t="n">
        <f aca="false">E7+F7+SUM(I7:Q7)</f>
        <v>-82.3764743</v>
      </c>
      <c r="S7" s="12" t="n">
        <f aca="false">S6+R7</f>
        <v>-314.4358348</v>
      </c>
      <c r="T7" s="15" t="n">
        <f aca="false">IF(AND($A7&gt;$B$100,S7&gt;=0),1,0)</f>
        <v>0</v>
      </c>
      <c r="U7" s="12" t="n">
        <f aca="false">S7-SUM($E$5:E7)-(1+Premissas!$B$14)*SUM($C$5:C7)</f>
        <v>-570.5533348</v>
      </c>
      <c r="V7" s="12" t="n">
        <f aca="false">C7/Premissas!$B$15*Premissas!$B$17+(G7+H7)*Premissas!$B$18</f>
        <v>13.7</v>
      </c>
      <c r="W7" s="15" t="n">
        <f aca="false">IF(V7&gt;0,DATE(YEAR(B7),MONTH(B7)+1,1)-Premissas!$B$11+1,0)</f>
        <v>21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46310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IF(C8&gt;0,IF(DAY(B8)&lt;=Premissas!$B$12,DATE(YEAR(B8),MONTH(B8),Premissas!$B$13),DATE(YEAR(B8),MONTH(B8)+1,Premissas!$B$13))-Premissas!$B$11+1,0)</f>
        <v>18</v>
      </c>
      <c r="E8" s="12" t="n">
        <f aca="false">-SUMIF($D$5:$D$94,A8,$C$5:$C$94)*(1+Premissas!$B$14)</f>
        <v>-0</v>
      </c>
      <c r="F8" s="12" t="n">
        <f aca="false">-SUMIF($W$5:$W$94,A8,$V$5:$V$94)</f>
        <v>-0</v>
      </c>
      <c r="G8" s="29" t="n">
        <f aca="false">C8/Premissas!$B$15*Premissas!$B$16*Premissas!$B$20</f>
        <v>3.5</v>
      </c>
      <c r="H8" s="29" t="n">
        <f aca="false">C8/Premissas!$B$15*Premissas!$B$16*Premissas!$B$21</f>
        <v>1.5</v>
      </c>
      <c r="I8" s="12" t="n">
        <f aca="false">-G8*(Premissas!$B$54*Unitário!$B$22+Premissas!$B$55*Unitário!$B$23)</f>
        <v>-232.925035</v>
      </c>
      <c r="J8" s="12" t="n">
        <f aca="false">IF($A8-(Premissas!$B$49)&gt;=1,INDEX($G$5:$G$94,$A8-(Premissas!$B$49)),0)*Premissas!$B$23*((Premissas!$B$54*Unitário!$B$22+Premissas!$B$55*Unitário!$B$23)-Premissas!$B$35)</f>
        <v>33.65320595</v>
      </c>
      <c r="K8" s="12" t="n">
        <f aca="false">IF($A8-(Premissas!$B$49+Premissas!$B$52)&gt;=1,INDEX($G$5:$G$94,$A8-(Premissas!$B$49+Premissas!$B$52)),0)*Premissas!$B$24*((Premissas!$B$54*Unitário!$B$22+Premissas!$B$55*Unitário!$B$23)-Premissas!$B$36)</f>
        <v>0</v>
      </c>
      <c r="L8" s="12" t="n">
        <f aca="false">IF($A8-(Premissas!$B$49+Premissas!$B$50)&gt;=1,INDEX($G$5:$G$94,$A8-(Premissas!$B$49+Premissas!$B$50)),0)*Unitário!$B$21*(Premissas!$B$46-(1-Premissas!$B$55)*Unitário!$B$23-(1-Premissas!$B$54)*Unitário!$B$22)</f>
        <v>0</v>
      </c>
      <c r="M8" s="12" t="n">
        <f aca="false">IF($A8-(Premissas!$B$51)&gt;=1,INDEX($H$5:$H$94,$A8-(Premissas!$B$51)),0)*(Premissas!$B$47-Unitário!$B$25)</f>
        <v>169.38035475</v>
      </c>
      <c r="N8" s="12" t="n">
        <f aca="false">-H8*(Premissas!$B$54*Unitário!$B$22+Premissas!$B$28)</f>
        <v>-52.485</v>
      </c>
      <c r="O8" s="12" t="n">
        <f aca="false">IF($A8-(Premissas!$B$49+Premissas!$B$52)&gt;=1,INDEX($H$5:$H$94,$A8-(Premissas!$B$49+Premissas!$B$52)),0)*Premissas!$B$24*(-Premissas!$B$47-Premissas!$B$36+Premissas!$B$28+Premissas!$B$54*Unitário!$B$22)</f>
        <v>-0</v>
      </c>
      <c r="P8" s="12" t="n">
        <f aca="false">-Premissas!$B$37*(IF($A8-(Premissas!$B$49+Premissas!$B$50)&gt;=1,INDEX($G$5:$G$94,$A8-(Premissas!$B$49+Premissas!$B$50)),0)*Unitário!$B$21*Premissas!$B$46+IF($A8-(Premissas!$B$51)&gt;=1,INDEX($H$5:$H$94,$A8-(Premissas!$B$51)),0)*(1-Premissas!$B$24)*Premissas!$B$47)</f>
        <v>-0</v>
      </c>
      <c r="Q8" s="12" t="n">
        <f aca="false">IF(DAY(B8)=1,-(Premissas!$B$38+Premissas!$B$59*Premissas!$B$60),0)</f>
        <v>0</v>
      </c>
      <c r="R8" s="12" t="n">
        <f aca="false">E8+F8+SUM(I8:Q8)</f>
        <v>-82.3764743</v>
      </c>
      <c r="S8" s="12" t="n">
        <f aca="false">S7+R8</f>
        <v>-396.8123091</v>
      </c>
      <c r="T8" s="15" t="n">
        <f aca="false">IF(AND($A8&gt;$B$100,S8&gt;=0),1,0)</f>
        <v>0</v>
      </c>
      <c r="U8" s="12" t="n">
        <f aca="false">S8-SUM($E$5:E8)-(1+Premissas!$B$14)*SUM($C$5:C8)</f>
        <v>-738.3023091</v>
      </c>
      <c r="V8" s="12" t="n">
        <f aca="false">C8/Premissas!$B$15*Premissas!$B$17+(G8+H8)*Premissas!$B$18</f>
        <v>13.7</v>
      </c>
      <c r="W8" s="15" t="n">
        <f aca="false">IF(V8&gt;0,DATE(YEAR(B8),MONTH(B8)+1,1)-Premissas!$B$11+1,0)</f>
        <v>21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46311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IF(C9&gt;0,IF(DAY(B9)&lt;=Premissas!$B$12,DATE(YEAR(B9),MONTH(B9),Premissas!$B$13),DATE(YEAR(B9),MONTH(B9)+1,Premissas!$B$13))-Premissas!$B$11+1,0)</f>
        <v>18</v>
      </c>
      <c r="E9" s="12" t="n">
        <f aca="false">-SUMIF($D$5:$D$94,A9,$C$5:$C$94)*(1+Premissas!$B$14)</f>
        <v>-0</v>
      </c>
      <c r="F9" s="12" t="n">
        <f aca="false">-SUMIF($W$5:$W$94,A9,$V$5:$V$94)</f>
        <v>-0</v>
      </c>
      <c r="G9" s="29" t="n">
        <f aca="false">C9/Premissas!$B$15*Premissas!$B$16*Premissas!$B$20</f>
        <v>3.5</v>
      </c>
      <c r="H9" s="29" t="n">
        <f aca="false">C9/Premissas!$B$15*Premissas!$B$16*Premissas!$B$21</f>
        <v>1.5</v>
      </c>
      <c r="I9" s="12" t="n">
        <f aca="false">-G9*(Premissas!$B$54*Unitário!$B$22+Premissas!$B$55*Unitário!$B$23)</f>
        <v>-232.925035</v>
      </c>
      <c r="J9" s="12" t="n">
        <f aca="false">IF($A9-(Premissas!$B$49)&gt;=1,INDEX($G$5:$G$94,$A9-(Premissas!$B$49)),0)*Premissas!$B$23*((Premissas!$B$54*Unitário!$B$22+Premissas!$B$55*Unitário!$B$23)-Premissas!$B$35)</f>
        <v>33.65320595</v>
      </c>
      <c r="K9" s="12" t="n">
        <f aca="false">IF($A9-(Premissas!$B$49+Premissas!$B$52)&gt;=1,INDEX($G$5:$G$94,$A9-(Premissas!$B$49+Premissas!$B$52)),0)*Premissas!$B$24*((Premissas!$B$54*Unitário!$B$22+Premissas!$B$55*Unitário!$B$23)-Premissas!$B$36)</f>
        <v>0</v>
      </c>
      <c r="L9" s="12" t="n">
        <f aca="false">IF($A9-(Premissas!$B$49+Premissas!$B$50)&gt;=1,INDEX($G$5:$G$94,$A9-(Premissas!$B$49+Premissas!$B$50)),0)*Unitário!$B$21*(Premissas!$B$46-(1-Premissas!$B$55)*Unitário!$B$23-(1-Premissas!$B$54)*Unitário!$B$22)</f>
        <v>0</v>
      </c>
      <c r="M9" s="12" t="n">
        <f aca="false">IF($A9-(Premissas!$B$51)&gt;=1,INDEX($H$5:$H$94,$A9-(Premissas!$B$51)),0)*(Premissas!$B$47-Unitário!$B$25)</f>
        <v>169.38035475</v>
      </c>
      <c r="N9" s="12" t="n">
        <f aca="false">-H9*(Premissas!$B$54*Unitário!$B$22+Premissas!$B$28)</f>
        <v>-52.485</v>
      </c>
      <c r="O9" s="12" t="n">
        <f aca="false">IF($A9-(Premissas!$B$49+Premissas!$B$52)&gt;=1,INDEX($H$5:$H$94,$A9-(Premissas!$B$49+Premissas!$B$52)),0)*Premissas!$B$24*(-Premissas!$B$47-Premissas!$B$36+Premissas!$B$28+Premissas!$B$54*Unitário!$B$22)</f>
        <v>-0</v>
      </c>
      <c r="P9" s="12" t="n">
        <f aca="false">-Premissas!$B$37*(IF($A9-(Premissas!$B$49+Premissas!$B$50)&gt;=1,INDEX($G$5:$G$94,$A9-(Premissas!$B$49+Premissas!$B$50)),0)*Unitário!$B$21*Premissas!$B$46+IF($A9-(Premissas!$B$51)&gt;=1,INDEX($H$5:$H$94,$A9-(Premissas!$B$51)),0)*(1-Premissas!$B$24)*Premissas!$B$47)</f>
        <v>-0</v>
      </c>
      <c r="Q9" s="12" t="n">
        <f aca="false">IF(DAY(B9)=1,-(Premissas!$B$38+Premissas!$B$59*Premissas!$B$60),0)</f>
        <v>0</v>
      </c>
      <c r="R9" s="12" t="n">
        <f aca="false">E9+F9+SUM(I9:Q9)</f>
        <v>-82.3764743</v>
      </c>
      <c r="S9" s="12" t="n">
        <f aca="false">S8+R9</f>
        <v>-479.1887834</v>
      </c>
      <c r="T9" s="15" t="n">
        <f aca="false">IF(AND($A9&gt;$B$100,S9&gt;=0),1,0)</f>
        <v>0</v>
      </c>
      <c r="U9" s="12" t="n">
        <f aca="false">S9-SUM($E$5:E9)-(1+Premissas!$B$14)*SUM($C$5:C9)</f>
        <v>-906.0512834</v>
      </c>
      <c r="V9" s="12" t="n">
        <f aca="false">C9/Premissas!$B$15*Premissas!$B$17+(G9+H9)*Premissas!$B$18</f>
        <v>13.7</v>
      </c>
      <c r="W9" s="15" t="n">
        <f aca="false">IF(V9&gt;0,DATE(YEAR(B9),MONTH(B9)+1,1)-Premissas!$B$11+1,0)</f>
        <v>21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46312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IF(C10&gt;0,IF(DAY(B10)&lt;=Premissas!$B$12,DATE(YEAR(B10),MONTH(B10),Premissas!$B$13),DATE(YEAR(B10),MONTH(B10)+1,Premissas!$B$13))-Premissas!$B$11+1,0)</f>
        <v>0</v>
      </c>
      <c r="E10" s="12" t="n">
        <f aca="false">-SUMIF($D$5:$D$94,A10,$C$5:$C$94)*(1+Premissas!$B$14)</f>
        <v>-0</v>
      </c>
      <c r="F10" s="12" t="n">
        <f aca="false">-SUMIF($W$5:$W$94,A10,$V$5:$V$94)</f>
        <v>-0</v>
      </c>
      <c r="G10" s="29" t="n">
        <f aca="false">C10/Premissas!$B$15*Premissas!$B$16*Premissas!$B$20</f>
        <v>0</v>
      </c>
      <c r="H10" s="29" t="n">
        <f aca="false">C10/Premissas!$B$15*Premissas!$B$16*Premissas!$B$21</f>
        <v>0</v>
      </c>
      <c r="I10" s="12" t="n">
        <f aca="false">-G10*(Premissas!$B$54*Unitário!$B$22+Premissas!$B$55*Unitário!$B$23)</f>
        <v>-0</v>
      </c>
      <c r="J10" s="12" t="n">
        <f aca="false">IF($A10-(Premissas!$B$49)&gt;=1,INDEX($G$5:$G$94,$A10-(Premissas!$B$49)),0)*Premissas!$B$23*((Premissas!$B$54*Unitário!$B$22+Premissas!$B$55*Unitário!$B$23)-Premissas!$B$35)</f>
        <v>33.65320595</v>
      </c>
      <c r="K10" s="12" t="n">
        <f aca="false">IF($A10-(Premissas!$B$49+Premissas!$B$52)&gt;=1,INDEX($G$5:$G$94,$A10-(Premissas!$B$49+Premissas!$B$52)),0)*Premissas!$B$24*((Premissas!$B$54*Unitário!$B$22+Premissas!$B$55*Unitário!$B$23)-Premissas!$B$36)</f>
        <v>0</v>
      </c>
      <c r="L10" s="12" t="n">
        <f aca="false">IF($A10-(Premissas!$B$49+Premissas!$B$50)&gt;=1,INDEX($G$5:$G$94,$A10-(Premissas!$B$49+Premissas!$B$50)),0)*Unitário!$B$21*(Premissas!$B$46-(1-Premissas!$B$55)*Unitário!$B$23-(1-Premissas!$B$54)*Unitário!$B$22)</f>
        <v>0</v>
      </c>
      <c r="M10" s="12" t="n">
        <f aca="false">IF($A10-(Premissas!$B$51)&gt;=1,INDEX($H$5:$H$94,$A10-(Premissas!$B$51)),0)*(Premissas!$B$47-Unitário!$B$25)</f>
        <v>0</v>
      </c>
      <c r="N10" s="12" t="n">
        <f aca="false">-H10*(Premissas!$B$54*Unitário!$B$22+Premissas!$B$28)</f>
        <v>-0</v>
      </c>
      <c r="O10" s="12" t="n">
        <f aca="false">IF($A10-(Premissas!$B$49+Premissas!$B$52)&gt;=1,INDEX($H$5:$H$94,$A10-(Premissas!$B$49+Premissas!$B$52)),0)*Premissas!$B$24*(-Premissas!$B$47-Premissas!$B$36+Premissas!$B$28+Premissas!$B$54*Unitário!$B$22)</f>
        <v>-0</v>
      </c>
      <c r="P10" s="12" t="n">
        <f aca="false">-Premissas!$B$37*(IF($A10-(Premissas!$B$49+Premissas!$B$50)&gt;=1,INDEX($G$5:$G$94,$A10-(Premissas!$B$49+Premissas!$B$50)),0)*Unitário!$B$21*Premissas!$B$46+IF($A10-(Premissas!$B$51)&gt;=1,INDEX($H$5:$H$94,$A10-(Premissas!$B$51)),0)*(1-Premissas!$B$24)*Premissas!$B$47)</f>
        <v>-0</v>
      </c>
      <c r="Q10" s="12" t="n">
        <f aca="false">IF(DAY(B10)=1,-(Premissas!$B$38+Premissas!$B$59*Premissas!$B$60),0)</f>
        <v>0</v>
      </c>
      <c r="R10" s="12" t="n">
        <f aca="false">E10+F10+SUM(I10:Q10)</f>
        <v>33.65320595</v>
      </c>
      <c r="S10" s="12" t="n">
        <f aca="false">S9+R10</f>
        <v>-445.53557745</v>
      </c>
      <c r="T10" s="15" t="n">
        <f aca="false">IF(AND($A10&gt;$B$100,S10&gt;=0),1,0)</f>
        <v>0</v>
      </c>
      <c r="U10" s="12" t="n">
        <f aca="false">S10-SUM($E$5:E10)-(1+Premissas!$B$14)*SUM($C$5:C10)</f>
        <v>-872.39807745</v>
      </c>
      <c r="V10" s="12" t="n">
        <f aca="false">C10/Premissas!$B$15*Premissas!$B$17+(G10+H10)*Premissas!$B$18</f>
        <v>0</v>
      </c>
      <c r="W10" s="15" t="n">
        <f aca="false">IF(V10&gt;0,DATE(YEAR(B10),MONTH(B10)+1,1)-Premissas!$B$11+1,0)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46313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IF(C11&gt;0,IF(DAY(B11)&lt;=Premissas!$B$12,DATE(YEAR(B11),MONTH(B11),Premissas!$B$13),DATE(YEAR(B11),MONTH(B11)+1,Premissas!$B$13))-Premissas!$B$11+1,0)</f>
        <v>0</v>
      </c>
      <c r="E11" s="12" t="n">
        <f aca="false">-SUMIF($D$5:$D$94,A11,$C$5:$C$94)*(1+Premissas!$B$14)</f>
        <v>-0</v>
      </c>
      <c r="F11" s="12" t="n">
        <f aca="false">-SUMIF($W$5:$W$94,A11,$V$5:$V$94)</f>
        <v>-0</v>
      </c>
      <c r="G11" s="29" t="n">
        <f aca="false">C11/Premissas!$B$15*Premissas!$B$16*Premissas!$B$20</f>
        <v>0</v>
      </c>
      <c r="H11" s="29" t="n">
        <f aca="false">C11/Premissas!$B$15*Premissas!$B$16*Premissas!$B$21</f>
        <v>0</v>
      </c>
      <c r="I11" s="12" t="n">
        <f aca="false">-G11*(Premissas!$B$54*Unitário!$B$22+Premissas!$B$55*Unitário!$B$23)</f>
        <v>-0</v>
      </c>
      <c r="J11" s="12" t="n">
        <f aca="false">IF($A11-(Premissas!$B$49)&gt;=1,INDEX($G$5:$G$94,$A11-(Premissas!$B$49)),0)*Premissas!$B$23*((Premissas!$B$54*Unitário!$B$22+Premissas!$B$55*Unitário!$B$23)-Premissas!$B$35)</f>
        <v>33.65320595</v>
      </c>
      <c r="K11" s="12" t="n">
        <f aca="false">IF($A11-(Premissas!$B$49+Premissas!$B$52)&gt;=1,INDEX($G$5:$G$94,$A11-(Premissas!$B$49+Premissas!$B$52)),0)*Premissas!$B$24*((Premissas!$B$54*Unitário!$B$22+Premissas!$B$55*Unitário!$B$23)-Premissas!$B$36)</f>
        <v>0</v>
      </c>
      <c r="L11" s="12" t="n">
        <f aca="false">IF($A11-(Premissas!$B$49+Premissas!$B$50)&gt;=1,INDEX($G$5:$G$94,$A11-(Premissas!$B$49+Premissas!$B$50)),0)*Unitário!$B$21*(Premissas!$B$46-(1-Premissas!$B$55)*Unitário!$B$23-(1-Premissas!$B$54)*Unitário!$B$22)</f>
        <v>0</v>
      </c>
      <c r="M11" s="12" t="n">
        <f aca="false">IF($A11-(Premissas!$B$51)&gt;=1,INDEX($H$5:$H$94,$A11-(Premissas!$B$51)),0)*(Premissas!$B$47-Unitário!$B$25)</f>
        <v>0</v>
      </c>
      <c r="N11" s="12" t="n">
        <f aca="false">-H11*(Premissas!$B$54*Unitário!$B$22+Premissas!$B$28)</f>
        <v>-0</v>
      </c>
      <c r="O11" s="12" t="n">
        <f aca="false">IF($A11-(Premissas!$B$49+Premissas!$B$52)&gt;=1,INDEX($H$5:$H$94,$A11-(Premissas!$B$49+Premissas!$B$52)),0)*Premissas!$B$24*(-Premissas!$B$47-Premissas!$B$36+Premissas!$B$28+Premissas!$B$54*Unitário!$B$22)</f>
        <v>-0</v>
      </c>
      <c r="P11" s="12" t="n">
        <f aca="false">-Premissas!$B$37*(IF($A11-(Premissas!$B$49+Premissas!$B$50)&gt;=1,INDEX($G$5:$G$94,$A11-(Premissas!$B$49+Premissas!$B$50)),0)*Unitário!$B$21*Premissas!$B$46+IF($A11-(Premissas!$B$51)&gt;=1,INDEX($H$5:$H$94,$A11-(Premissas!$B$51)),0)*(1-Premissas!$B$24)*Premissas!$B$47)</f>
        <v>-0</v>
      </c>
      <c r="Q11" s="12" t="n">
        <f aca="false">IF(DAY(B11)=1,-(Premissas!$B$38+Premissas!$B$59*Premissas!$B$60),0)</f>
        <v>0</v>
      </c>
      <c r="R11" s="12" t="n">
        <f aca="false">E11+F11+SUM(I11:Q11)</f>
        <v>33.65320595</v>
      </c>
      <c r="S11" s="12" t="n">
        <f aca="false">S10+R11</f>
        <v>-411.8823715</v>
      </c>
      <c r="T11" s="15" t="n">
        <f aca="false">IF(AND($A11&gt;$B$100,S11&gt;=0),1,0)</f>
        <v>0</v>
      </c>
      <c r="U11" s="12" t="n">
        <f aca="false">S11-SUM($E$5:E11)-(1+Premissas!$B$14)*SUM($C$5:C11)</f>
        <v>-838.7448715</v>
      </c>
      <c r="V11" s="12" t="n">
        <f aca="false">C11/Premissas!$B$15*Premissas!$B$17+(G11+H11)*Premissas!$B$18</f>
        <v>0</v>
      </c>
      <c r="W11" s="15" t="n">
        <f aca="false">IF(V11&gt;0,DATE(YEAR(B11),MONTH(B11)+1,1)-Premissas!$B$11+1,0)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46314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IF(C12&gt;0,IF(DAY(B12)&lt;=Premissas!$B$12,DATE(YEAR(B12),MONTH(B12),Premissas!$B$13),DATE(YEAR(B12),MONTH(B12)+1,Premissas!$B$13))-Premissas!$B$11+1,0)</f>
        <v>18</v>
      </c>
      <c r="E12" s="12" t="n">
        <f aca="false">-SUMIF($D$5:$D$94,A12,$C$5:$C$94)*(1+Premissas!$B$14)</f>
        <v>-0</v>
      </c>
      <c r="F12" s="12" t="n">
        <f aca="false">-SUMIF($W$5:$W$94,A12,$V$5:$V$94)</f>
        <v>-0</v>
      </c>
      <c r="G12" s="29" t="n">
        <f aca="false">C12/Premissas!$B$15*Premissas!$B$16*Premissas!$B$20</f>
        <v>2.8</v>
      </c>
      <c r="H12" s="29" t="n">
        <f aca="false">C12/Premissas!$B$15*Premissas!$B$16*Premissas!$B$21</f>
        <v>1.2</v>
      </c>
      <c r="I12" s="12" t="n">
        <f aca="false">-G12*(Premissas!$B$54*Unitário!$B$22+Premissas!$B$55*Unitário!$B$23)</f>
        <v>-186.340028</v>
      </c>
      <c r="J12" s="12" t="n">
        <f aca="false">IF($A12-(Premissas!$B$49)&gt;=1,INDEX($G$5:$G$94,$A12-(Premissas!$B$49)),0)*Premissas!$B$23*((Premissas!$B$54*Unitário!$B$22+Premissas!$B$55*Unitário!$B$23)-Premissas!$B$35)</f>
        <v>0</v>
      </c>
      <c r="K12" s="12" t="n">
        <f aca="false">IF($A12-(Premissas!$B$49+Premissas!$B$52)&gt;=1,INDEX($G$5:$G$94,$A12-(Premissas!$B$49+Premissas!$B$52)),0)*Premissas!$B$24*((Premissas!$B$54*Unitário!$B$22+Premissas!$B$55*Unitário!$B$23)-Premissas!$B$36)</f>
        <v>0</v>
      </c>
      <c r="L12" s="12" t="n">
        <f aca="false">IF($A12-(Premissas!$B$49+Premissas!$B$50)&gt;=1,INDEX($G$5:$G$94,$A12-(Premissas!$B$49+Premissas!$B$50)),0)*Unitário!$B$21*(Premissas!$B$46-(1-Premissas!$B$55)*Unitário!$B$23-(1-Premissas!$B$54)*Unitário!$B$22)</f>
        <v>0</v>
      </c>
      <c r="M12" s="12" t="n">
        <f aca="false">IF($A12-(Premissas!$B$51)&gt;=1,INDEX($H$5:$H$94,$A12-(Premissas!$B$51)),0)*(Premissas!$B$47-Unitário!$B$25)</f>
        <v>135.5042838</v>
      </c>
      <c r="N12" s="12" t="n">
        <f aca="false">-H12*(Premissas!$B$54*Unitário!$B$22+Premissas!$B$28)</f>
        <v>-41.988</v>
      </c>
      <c r="O12" s="12" t="n">
        <f aca="false">IF($A12-(Premissas!$B$49+Premissas!$B$52)&gt;=1,INDEX($H$5:$H$94,$A12-(Premissas!$B$49+Premissas!$B$52)),0)*Premissas!$B$24*(-Premissas!$B$47-Premissas!$B$36+Premissas!$B$28+Premissas!$B$54*Unitário!$B$22)</f>
        <v>-0</v>
      </c>
      <c r="P12" s="12" t="n">
        <f aca="false">-Premissas!$B$37*(IF($A12-(Premissas!$B$49+Premissas!$B$50)&gt;=1,INDEX($G$5:$G$94,$A12-(Premissas!$B$49+Premissas!$B$50)),0)*Unitário!$B$21*Premissas!$B$46+IF($A12-(Premissas!$B$51)&gt;=1,INDEX($H$5:$H$94,$A12-(Premissas!$B$51)),0)*(1-Premissas!$B$24)*Premissas!$B$47)</f>
        <v>-0</v>
      </c>
      <c r="Q12" s="12" t="n">
        <f aca="false">IF(DAY(B12)=1,-(Premissas!$B$38+Premissas!$B$59*Premissas!$B$60),0)</f>
        <v>0</v>
      </c>
      <c r="R12" s="12" t="n">
        <f aca="false">E12+F12+SUM(I12:Q12)</f>
        <v>-92.8237442</v>
      </c>
      <c r="S12" s="12" t="n">
        <f aca="false">S11+R12</f>
        <v>-504.7061157</v>
      </c>
      <c r="T12" s="15" t="n">
        <f aca="false">IF(AND($A12&gt;$B$100,S12&gt;=0),1,0)</f>
        <v>0</v>
      </c>
      <c r="U12" s="12" t="n">
        <f aca="false">S12-SUM($E$5:E12)-(1+Premissas!$B$14)*SUM($C$5:C12)</f>
        <v>-999.8666157</v>
      </c>
      <c r="V12" s="12" t="n">
        <f aca="false">C12/Premissas!$B$15*Premissas!$B$17+(G12+H12)*Premissas!$B$18</f>
        <v>10.96</v>
      </c>
      <c r="W12" s="15" t="n">
        <f aca="false">IF(V12&gt;0,DATE(YEAR(B12),MONTH(B12)+1,1)-Premissas!$B$11+1,0)</f>
        <v>21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46315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IF(C13&gt;0,IF(DAY(B13)&lt;=Premissas!$B$12,DATE(YEAR(B13),MONTH(B13),Premissas!$B$13),DATE(YEAR(B13),MONTH(B13)+1,Premissas!$B$13))-Premissas!$B$11+1,0)</f>
        <v>18</v>
      </c>
      <c r="E13" s="12" t="n">
        <f aca="false">-SUMIF($D$5:$D$94,A13,$C$5:$C$94)*(1+Premissas!$B$14)</f>
        <v>-0</v>
      </c>
      <c r="F13" s="12" t="n">
        <f aca="false">-SUMIF($W$5:$W$94,A13,$V$5:$V$94)</f>
        <v>-0</v>
      </c>
      <c r="G13" s="29" t="n">
        <f aca="false">C13/Premissas!$B$15*Premissas!$B$16*Premissas!$B$20</f>
        <v>2.8</v>
      </c>
      <c r="H13" s="29" t="n">
        <f aca="false">C13/Premissas!$B$15*Premissas!$B$16*Premissas!$B$21</f>
        <v>1.2</v>
      </c>
      <c r="I13" s="12" t="n">
        <f aca="false">-G13*(Premissas!$B$54*Unitário!$B$22+Premissas!$B$55*Unitário!$B$23)</f>
        <v>-186.340028</v>
      </c>
      <c r="J13" s="12" t="n">
        <f aca="false">IF($A13-(Premissas!$B$49)&gt;=1,INDEX($G$5:$G$94,$A13-(Premissas!$B$49)),0)*Premissas!$B$23*((Premissas!$B$54*Unitário!$B$22+Premissas!$B$55*Unitário!$B$23)-Premissas!$B$35)</f>
        <v>0</v>
      </c>
      <c r="K13" s="12" t="n">
        <f aca="false">IF($A13-(Premissas!$B$49+Premissas!$B$52)&gt;=1,INDEX($G$5:$G$94,$A13-(Premissas!$B$49+Premissas!$B$52)),0)*Premissas!$B$24*((Premissas!$B$54*Unitário!$B$22+Premissas!$B$55*Unitário!$B$23)-Premissas!$B$36)</f>
        <v>0</v>
      </c>
      <c r="L13" s="12" t="n">
        <f aca="false">IF($A13-(Premissas!$B$49+Premissas!$B$50)&gt;=1,INDEX($G$5:$G$94,$A13-(Premissas!$B$49+Premissas!$B$50)),0)*Unitário!$B$21*(Premissas!$B$46-(1-Premissas!$B$55)*Unitário!$B$23-(1-Premissas!$B$54)*Unitário!$B$22)</f>
        <v>0</v>
      </c>
      <c r="M13" s="12" t="n">
        <f aca="false">IF($A13-(Premissas!$B$51)&gt;=1,INDEX($H$5:$H$94,$A13-(Premissas!$B$51)),0)*(Premissas!$B$47-Unitário!$B$25)</f>
        <v>135.5042838</v>
      </c>
      <c r="N13" s="12" t="n">
        <f aca="false">-H13*(Premissas!$B$54*Unitário!$B$22+Premissas!$B$28)</f>
        <v>-41.988</v>
      </c>
      <c r="O13" s="12" t="n">
        <f aca="false">IF($A13-(Premissas!$B$49+Premissas!$B$52)&gt;=1,INDEX($H$5:$H$94,$A13-(Premissas!$B$49+Premissas!$B$52)),0)*Premissas!$B$24*(-Premissas!$B$47-Premissas!$B$36+Premissas!$B$28+Premissas!$B$54*Unitário!$B$22)</f>
        <v>-0</v>
      </c>
      <c r="P13" s="12" t="n">
        <f aca="false">-Premissas!$B$37*(IF($A13-(Premissas!$B$49+Premissas!$B$50)&gt;=1,INDEX($G$5:$G$94,$A13-(Premissas!$B$49+Premissas!$B$50)),0)*Unitário!$B$21*Premissas!$B$46+IF($A13-(Premissas!$B$51)&gt;=1,INDEX($H$5:$H$94,$A13-(Premissas!$B$51)),0)*(1-Premissas!$B$24)*Premissas!$B$47)</f>
        <v>-0</v>
      </c>
      <c r="Q13" s="12" t="n">
        <f aca="false">IF(DAY(B13)=1,-(Premissas!$B$38+Premissas!$B$59*Premissas!$B$60),0)</f>
        <v>0</v>
      </c>
      <c r="R13" s="12" t="n">
        <f aca="false">E13+F13+SUM(I13:Q13)</f>
        <v>-92.8237442</v>
      </c>
      <c r="S13" s="12" t="n">
        <f aca="false">S12+R13</f>
        <v>-597.5298599</v>
      </c>
      <c r="T13" s="15" t="n">
        <f aca="false">IF(AND($A13&gt;$B$100,S13&gt;=0),1,0)</f>
        <v>0</v>
      </c>
      <c r="U13" s="12" t="n">
        <f aca="false">S13-SUM($E$5:E13)-(1+Premissas!$B$14)*SUM($C$5:C13)</f>
        <v>-1160.9883599</v>
      </c>
      <c r="V13" s="12" t="n">
        <f aca="false">C13/Premissas!$B$15*Premissas!$B$17+(G13+H13)*Premissas!$B$18</f>
        <v>10.96</v>
      </c>
      <c r="W13" s="15" t="n">
        <f aca="false">IF(V13&gt;0,DATE(YEAR(B13),MONTH(B13)+1,1)-Premissas!$B$11+1,0)</f>
        <v>21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46316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IF(C14&gt;0,IF(DAY(B14)&lt;=Premissas!$B$12,DATE(YEAR(B14),MONTH(B14),Premissas!$B$13),DATE(YEAR(B14),MONTH(B14)+1,Premissas!$B$13))-Premissas!$B$11+1,0)</f>
        <v>18</v>
      </c>
      <c r="E14" s="12" t="n">
        <f aca="false">-SUMIF($D$5:$D$94,A14,$C$5:$C$94)*(1+Premissas!$B$14)</f>
        <v>-0</v>
      </c>
      <c r="F14" s="12" t="n">
        <f aca="false">-SUMIF($W$5:$W$94,A14,$V$5:$V$94)</f>
        <v>-0</v>
      </c>
      <c r="G14" s="29" t="n">
        <f aca="false">C14/Premissas!$B$15*Premissas!$B$16*Premissas!$B$20</f>
        <v>2.8</v>
      </c>
      <c r="H14" s="29" t="n">
        <f aca="false">C14/Premissas!$B$15*Premissas!$B$16*Premissas!$B$21</f>
        <v>1.2</v>
      </c>
      <c r="I14" s="12" t="n">
        <f aca="false">-G14*(Premissas!$B$54*Unitário!$B$22+Premissas!$B$55*Unitário!$B$23)</f>
        <v>-186.340028</v>
      </c>
      <c r="J14" s="12" t="n">
        <f aca="false">IF($A14-(Premissas!$B$49)&gt;=1,INDEX($G$5:$G$94,$A14-(Premissas!$B$49)),0)*Premissas!$B$23*((Premissas!$B$54*Unitário!$B$22+Premissas!$B$55*Unitário!$B$23)-Premissas!$B$35)</f>
        <v>26.92256476</v>
      </c>
      <c r="K14" s="12" t="n">
        <f aca="false">IF($A14-(Premissas!$B$49+Premissas!$B$52)&gt;=1,INDEX($G$5:$G$94,$A14-(Premissas!$B$49+Premissas!$B$52)),0)*Premissas!$B$24*((Premissas!$B$54*Unitário!$B$22+Premissas!$B$55*Unitário!$B$23)-Premissas!$B$36)</f>
        <v>14.5425035</v>
      </c>
      <c r="L14" s="12" t="n">
        <f aca="false">IF($A14-(Premissas!$B$49+Premissas!$B$50)&gt;=1,INDEX($G$5:$G$94,$A14-(Premissas!$B$49+Premissas!$B$50)),0)*Unitário!$B$21*(Premissas!$B$46-(1-Premissas!$B$55)*Unitário!$B$23-(1-Premissas!$B$54)*Unitário!$B$22)</f>
        <v>0</v>
      </c>
      <c r="M14" s="12" t="n">
        <f aca="false">IF($A14-(Premissas!$B$51)&gt;=1,INDEX($H$5:$H$94,$A14-(Premissas!$B$51)),0)*(Premissas!$B$47-Unitário!$B$25)</f>
        <v>135.5042838</v>
      </c>
      <c r="N14" s="12" t="n">
        <f aca="false">-H14*(Premissas!$B$54*Unitário!$B$22+Premissas!$B$28)</f>
        <v>-41.988</v>
      </c>
      <c r="O14" s="12" t="n">
        <f aca="false">IF($A14-(Premissas!$B$49+Premissas!$B$52)&gt;=1,INDEX($H$5:$H$94,$A14-(Premissas!$B$49+Premissas!$B$52)),0)*Premissas!$B$24*(-Premissas!$B$47-Premissas!$B$36+Premissas!$B$28+Premissas!$B$54*Unitário!$B$22)</f>
        <v>-16.038</v>
      </c>
      <c r="P14" s="12" t="n">
        <f aca="false">-Premissas!$B$37*(IF($A14-(Premissas!$B$49+Premissas!$B$50)&gt;=1,INDEX($G$5:$G$94,$A14-(Premissas!$B$49+Premissas!$B$50)),0)*Unitário!$B$21*Premissas!$B$46+IF($A14-(Premissas!$B$51)&gt;=1,INDEX($H$5:$H$94,$A14-(Premissas!$B$51)),0)*(1-Premissas!$B$24)*Premissas!$B$47)</f>
        <v>-0</v>
      </c>
      <c r="Q14" s="12" t="n">
        <f aca="false">IF(DAY(B14)=1,-(Premissas!$B$38+Premissas!$B$59*Premissas!$B$60),0)</f>
        <v>0</v>
      </c>
      <c r="R14" s="12" t="n">
        <f aca="false">E14+F14+SUM(I14:Q14)</f>
        <v>-67.39667594</v>
      </c>
      <c r="S14" s="12" t="n">
        <f aca="false">S13+R14</f>
        <v>-664.92653584</v>
      </c>
      <c r="T14" s="15" t="n">
        <f aca="false">IF(AND($A14&gt;$B$100,S14&gt;=0),1,0)</f>
        <v>0</v>
      </c>
      <c r="U14" s="12" t="n">
        <f aca="false">S14-SUM($E$5:E14)-(1+Premissas!$B$14)*SUM($C$5:C14)</f>
        <v>-1296.68303584</v>
      </c>
      <c r="V14" s="12" t="n">
        <f aca="false">C14/Premissas!$B$15*Premissas!$B$17+(G14+H14)*Premissas!$B$18</f>
        <v>10.96</v>
      </c>
      <c r="W14" s="15" t="n">
        <f aca="false">IF(V14&gt;0,DATE(YEAR(B14),MONTH(B14)+1,1)-Premissas!$B$11+1,0)</f>
        <v>21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46317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IF(C15&gt;0,IF(DAY(B15)&lt;=Premissas!$B$12,DATE(YEAR(B15),MONTH(B15),Premissas!$B$13),DATE(YEAR(B15),MONTH(B15)+1,Premissas!$B$13))-Premissas!$B$11+1,0)</f>
        <v>18</v>
      </c>
      <c r="E15" s="12" t="n">
        <f aca="false">-SUMIF($D$5:$D$94,A15,$C$5:$C$94)*(1+Premissas!$B$14)</f>
        <v>-0</v>
      </c>
      <c r="F15" s="12" t="n">
        <f aca="false">-SUMIF($W$5:$W$94,A15,$V$5:$V$94)</f>
        <v>-0</v>
      </c>
      <c r="G15" s="29" t="n">
        <f aca="false">C15/Premissas!$B$15*Premissas!$B$16*Premissas!$B$20</f>
        <v>2.8</v>
      </c>
      <c r="H15" s="29" t="n">
        <f aca="false">C15/Premissas!$B$15*Premissas!$B$16*Premissas!$B$21</f>
        <v>1.2</v>
      </c>
      <c r="I15" s="12" t="n">
        <f aca="false">-G15*(Premissas!$B$54*Unitário!$B$22+Premissas!$B$55*Unitário!$B$23)</f>
        <v>-186.340028</v>
      </c>
      <c r="J15" s="12" t="n">
        <f aca="false">IF($A15-(Premissas!$B$49)&gt;=1,INDEX($G$5:$G$94,$A15-(Premissas!$B$49)),0)*Premissas!$B$23*((Premissas!$B$54*Unitário!$B$22+Premissas!$B$55*Unitário!$B$23)-Premissas!$B$35)</f>
        <v>26.92256476</v>
      </c>
      <c r="K15" s="12" t="n">
        <f aca="false">IF($A15-(Premissas!$B$49+Premissas!$B$52)&gt;=1,INDEX($G$5:$G$94,$A15-(Premissas!$B$49+Premissas!$B$52)),0)*Premissas!$B$24*((Premissas!$B$54*Unitário!$B$22+Premissas!$B$55*Unitário!$B$23)-Premissas!$B$36)</f>
        <v>14.5425035</v>
      </c>
      <c r="L15" s="12" t="n">
        <f aca="false">IF($A15-(Premissas!$B$49+Premissas!$B$50)&gt;=1,INDEX($G$5:$G$94,$A15-(Premissas!$B$49+Premissas!$B$50)),0)*Unitário!$B$21*(Premissas!$B$46-(1-Premissas!$B$55)*Unitário!$B$23-(1-Premissas!$B$54)*Unitário!$B$22)</f>
        <v>0</v>
      </c>
      <c r="M15" s="12" t="n">
        <f aca="false">IF($A15-(Premissas!$B$51)&gt;=1,INDEX($H$5:$H$94,$A15-(Premissas!$B$51)),0)*(Premissas!$B$47-Unitário!$B$25)</f>
        <v>135.5042838</v>
      </c>
      <c r="N15" s="12" t="n">
        <f aca="false">-H15*(Premissas!$B$54*Unitário!$B$22+Premissas!$B$28)</f>
        <v>-41.988</v>
      </c>
      <c r="O15" s="12" t="n">
        <f aca="false">IF($A15-(Premissas!$B$49+Premissas!$B$52)&gt;=1,INDEX($H$5:$H$94,$A15-(Premissas!$B$49+Premissas!$B$52)),0)*Premissas!$B$24*(-Premissas!$B$47-Premissas!$B$36+Premissas!$B$28+Premissas!$B$54*Unitário!$B$22)</f>
        <v>-16.038</v>
      </c>
      <c r="P15" s="12" t="n">
        <f aca="false">-Premissas!$B$37*(IF($A15-(Premissas!$B$49+Premissas!$B$50)&gt;=1,INDEX($G$5:$G$94,$A15-(Premissas!$B$49+Premissas!$B$50)),0)*Unitário!$B$21*Premissas!$B$46+IF($A15-(Premissas!$B$51)&gt;=1,INDEX($H$5:$H$94,$A15-(Premissas!$B$51)),0)*(1-Premissas!$B$24)*Premissas!$B$47)</f>
        <v>-0</v>
      </c>
      <c r="Q15" s="12" t="n">
        <f aca="false">IF(DAY(B15)=1,-(Premissas!$B$38+Premissas!$B$59*Premissas!$B$60),0)</f>
        <v>0</v>
      </c>
      <c r="R15" s="12" t="n">
        <f aca="false">E15+F15+SUM(I15:Q15)</f>
        <v>-67.39667594</v>
      </c>
      <c r="S15" s="12" t="n">
        <f aca="false">S14+R15</f>
        <v>-732.32321178</v>
      </c>
      <c r="T15" s="15" t="n">
        <f aca="false">IF(AND($A15&gt;$B$100,S15&gt;=0),1,0)</f>
        <v>0</v>
      </c>
      <c r="U15" s="12" t="n">
        <f aca="false">S15-SUM($E$5:E15)-(1+Premissas!$B$14)*SUM($C$5:C15)</f>
        <v>-1432.37771178</v>
      </c>
      <c r="V15" s="12" t="n">
        <f aca="false">C15/Premissas!$B$15*Premissas!$B$17+(G15+H15)*Premissas!$B$18</f>
        <v>10.96</v>
      </c>
      <c r="W15" s="15" t="n">
        <f aca="false">IF(V15&gt;0,DATE(YEAR(B15),MONTH(B15)+1,1)-Premissas!$B$11+1,0)</f>
        <v>21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46318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IF(C16&gt;0,IF(DAY(B16)&lt;=Premissas!$B$12,DATE(YEAR(B16),MONTH(B16),Premissas!$B$13),DATE(YEAR(B16),MONTH(B16)+1,Premissas!$B$13))-Premissas!$B$11+1,0)</f>
        <v>49</v>
      </c>
      <c r="E16" s="12" t="n">
        <f aca="false">-SUMIF($D$5:$D$94,A16,$C$5:$C$94)*(1+Premissas!$B$14)</f>
        <v>-0</v>
      </c>
      <c r="F16" s="12" t="n">
        <f aca="false">-SUMIF($W$5:$W$94,A16,$V$5:$V$94)</f>
        <v>-0</v>
      </c>
      <c r="G16" s="29" t="n">
        <f aca="false">C16/Premissas!$B$15*Premissas!$B$16*Premissas!$B$20</f>
        <v>2.8</v>
      </c>
      <c r="H16" s="29" t="n">
        <f aca="false">C16/Premissas!$B$15*Premissas!$B$16*Premissas!$B$21</f>
        <v>1.2</v>
      </c>
      <c r="I16" s="12" t="n">
        <f aca="false">-G16*(Premissas!$B$54*Unitário!$B$22+Premissas!$B$55*Unitário!$B$23)</f>
        <v>-186.340028</v>
      </c>
      <c r="J16" s="12" t="n">
        <f aca="false">IF($A16-(Premissas!$B$49)&gt;=1,INDEX($G$5:$G$94,$A16-(Premissas!$B$49)),0)*Premissas!$B$23*((Premissas!$B$54*Unitário!$B$22+Premissas!$B$55*Unitário!$B$23)-Premissas!$B$35)</f>
        <v>26.92256476</v>
      </c>
      <c r="K16" s="12" t="n">
        <f aca="false">IF($A16-(Premissas!$B$49+Premissas!$B$52)&gt;=1,INDEX($G$5:$G$94,$A16-(Premissas!$B$49+Premissas!$B$52)),0)*Premissas!$B$24*((Premissas!$B$54*Unitário!$B$22+Premissas!$B$55*Unitário!$B$23)-Premissas!$B$36)</f>
        <v>14.5425035</v>
      </c>
      <c r="L16" s="12" t="n">
        <f aca="false">IF($A16-(Premissas!$B$49+Premissas!$B$50)&gt;=1,INDEX($G$5:$G$94,$A16-(Premissas!$B$49+Premissas!$B$50)),0)*Unitário!$B$21*(Premissas!$B$46-(1-Premissas!$B$55)*Unitário!$B$23-(1-Premissas!$B$54)*Unitário!$B$22)</f>
        <v>0</v>
      </c>
      <c r="M16" s="12" t="n">
        <f aca="false">IF($A16-(Premissas!$B$51)&gt;=1,INDEX($H$5:$H$94,$A16-(Premissas!$B$51)),0)*(Premissas!$B$47-Unitário!$B$25)</f>
        <v>135.5042838</v>
      </c>
      <c r="N16" s="12" t="n">
        <f aca="false">-H16*(Premissas!$B$54*Unitário!$B$22+Premissas!$B$28)</f>
        <v>-41.988</v>
      </c>
      <c r="O16" s="12" t="n">
        <f aca="false">IF($A16-(Premissas!$B$49+Premissas!$B$52)&gt;=1,INDEX($H$5:$H$94,$A16-(Premissas!$B$49+Premissas!$B$52)),0)*Premissas!$B$24*(-Premissas!$B$47-Premissas!$B$36+Premissas!$B$28+Premissas!$B$54*Unitário!$B$22)</f>
        <v>-16.038</v>
      </c>
      <c r="P16" s="12" t="n">
        <f aca="false">-Premissas!$B$37*(IF($A16-(Premissas!$B$49+Premissas!$B$50)&gt;=1,INDEX($G$5:$G$94,$A16-(Premissas!$B$49+Premissas!$B$50)),0)*Unitário!$B$21*Premissas!$B$46+IF($A16-(Premissas!$B$51)&gt;=1,INDEX($H$5:$H$94,$A16-(Premissas!$B$51)),0)*(1-Premissas!$B$24)*Premissas!$B$47)</f>
        <v>-0</v>
      </c>
      <c r="Q16" s="12" t="n">
        <f aca="false">IF(DAY(B16)=1,-(Premissas!$B$38+Premissas!$B$59*Premissas!$B$60),0)</f>
        <v>0</v>
      </c>
      <c r="R16" s="12" t="n">
        <f aca="false">E16+F16+SUM(I16:Q16)</f>
        <v>-67.39667594</v>
      </c>
      <c r="S16" s="12" t="n">
        <f aca="false">S15+R16</f>
        <v>-799.71988772</v>
      </c>
      <c r="T16" s="15" t="n">
        <f aca="false">IF(AND($A16&gt;$B$100,S16&gt;=0),1,0)</f>
        <v>0</v>
      </c>
      <c r="U16" s="12" t="n">
        <f aca="false">S16-SUM($E$5:E16)-(1+Premissas!$B$14)*SUM($C$5:C16)</f>
        <v>-1568.07238772</v>
      </c>
      <c r="V16" s="12" t="n">
        <f aca="false">C16/Premissas!$B$15*Premissas!$B$17+(G16+H16)*Premissas!$B$18</f>
        <v>10.96</v>
      </c>
      <c r="W16" s="15" t="n">
        <f aca="false">IF(V16&gt;0,DATE(YEAR(B16),MONTH(B16)+1,1)-Premissas!$B$11+1,0)</f>
        <v>21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46319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IF(C17&gt;0,IF(DAY(B17)&lt;=Premissas!$B$12,DATE(YEAR(B17),MONTH(B17),Premissas!$B$13),DATE(YEAR(B17),MONTH(B17)+1,Premissas!$B$13))-Premissas!$B$11+1,0)</f>
        <v>0</v>
      </c>
      <c r="E17" s="12" t="n">
        <f aca="false">-SUMIF($D$5:$D$94,A17,$C$5:$C$94)*(1+Premissas!$B$14)</f>
        <v>-0</v>
      </c>
      <c r="F17" s="12" t="n">
        <f aca="false">-SUMIF($W$5:$W$94,A17,$V$5:$V$94)</f>
        <v>-0</v>
      </c>
      <c r="G17" s="29" t="n">
        <f aca="false">C17/Premissas!$B$15*Premissas!$B$16*Premissas!$B$20</f>
        <v>0</v>
      </c>
      <c r="H17" s="29" t="n">
        <f aca="false">C17/Premissas!$B$15*Premissas!$B$16*Premissas!$B$21</f>
        <v>0</v>
      </c>
      <c r="I17" s="12" t="n">
        <f aca="false">-G17*(Premissas!$B$54*Unitário!$B$22+Premissas!$B$55*Unitário!$B$23)</f>
        <v>-0</v>
      </c>
      <c r="J17" s="12" t="n">
        <f aca="false">IF($A17-(Premissas!$B$49)&gt;=1,INDEX($G$5:$G$94,$A17-(Premissas!$B$49)),0)*Premissas!$B$23*((Premissas!$B$54*Unitário!$B$22+Premissas!$B$55*Unitário!$B$23)-Premissas!$B$35)</f>
        <v>26.92256476</v>
      </c>
      <c r="K17" s="12" t="n">
        <f aca="false">IF($A17-(Premissas!$B$49+Premissas!$B$52)&gt;=1,INDEX($G$5:$G$94,$A17-(Premissas!$B$49+Premissas!$B$52)),0)*Premissas!$B$24*((Premissas!$B$54*Unitário!$B$22+Premissas!$B$55*Unitário!$B$23)-Premissas!$B$36)</f>
        <v>14.5425035</v>
      </c>
      <c r="L17" s="12" t="n">
        <f aca="false">IF($A17-(Premissas!$B$49+Premissas!$B$50)&gt;=1,INDEX($G$5:$G$94,$A17-(Premissas!$B$49+Premissas!$B$50)),0)*Unitário!$B$21*(Premissas!$B$46-(1-Premissas!$B$55)*Unitário!$B$23-(1-Premissas!$B$54)*Unitário!$B$22)</f>
        <v>0</v>
      </c>
      <c r="M17" s="12" t="n">
        <f aca="false">IF($A17-(Premissas!$B$51)&gt;=1,INDEX($H$5:$H$94,$A17-(Premissas!$B$51)),0)*(Premissas!$B$47-Unitário!$B$25)</f>
        <v>0</v>
      </c>
      <c r="N17" s="12" t="n">
        <f aca="false">-H17*(Premissas!$B$54*Unitário!$B$22+Premissas!$B$28)</f>
        <v>-0</v>
      </c>
      <c r="O17" s="12" t="n">
        <f aca="false">IF($A17-(Premissas!$B$49+Premissas!$B$52)&gt;=1,INDEX($H$5:$H$94,$A17-(Premissas!$B$49+Premissas!$B$52)),0)*Premissas!$B$24*(-Premissas!$B$47-Premissas!$B$36+Premissas!$B$28+Premissas!$B$54*Unitário!$B$22)</f>
        <v>-16.038</v>
      </c>
      <c r="P17" s="12" t="n">
        <f aca="false">-Premissas!$B$37*(IF($A17-(Premissas!$B$49+Premissas!$B$50)&gt;=1,INDEX($G$5:$G$94,$A17-(Premissas!$B$49+Premissas!$B$50)),0)*Unitário!$B$21*Premissas!$B$46+IF($A17-(Premissas!$B$51)&gt;=1,INDEX($H$5:$H$94,$A17-(Premissas!$B$51)),0)*(1-Premissas!$B$24)*Premissas!$B$47)</f>
        <v>-0</v>
      </c>
      <c r="Q17" s="12" t="n">
        <f aca="false">IF(DAY(B17)=1,-(Premissas!$B$38+Premissas!$B$59*Premissas!$B$60),0)</f>
        <v>0</v>
      </c>
      <c r="R17" s="12" t="n">
        <f aca="false">E17+F17+SUM(I17:Q17)</f>
        <v>25.42706826</v>
      </c>
      <c r="S17" s="12" t="n">
        <f aca="false">S16+R17</f>
        <v>-774.29281946</v>
      </c>
      <c r="T17" s="15" t="n">
        <f aca="false">IF(AND($A17&gt;$B$100,S17&gt;=0),1,0)</f>
        <v>0</v>
      </c>
      <c r="U17" s="12" t="n">
        <f aca="false">S17-SUM($E$5:E17)-(1+Premissas!$B$14)*SUM($C$5:C17)</f>
        <v>-1542.64531946</v>
      </c>
      <c r="V17" s="12" t="n">
        <f aca="false">C17/Premissas!$B$15*Premissas!$B$17+(G17+H17)*Premissas!$B$18</f>
        <v>0</v>
      </c>
      <c r="W17" s="15" t="n">
        <f aca="false">IF(V17&gt;0,DATE(YEAR(B17),MONTH(B17)+1,1)-Premissas!$B$11+1,0)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46320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IF(C18&gt;0,IF(DAY(B18)&lt;=Premissas!$B$12,DATE(YEAR(B18),MONTH(B18),Premissas!$B$13),DATE(YEAR(B18),MONTH(B18)+1,Premissas!$B$13))-Premissas!$B$11+1,0)</f>
        <v>0</v>
      </c>
      <c r="E18" s="12" t="n">
        <f aca="false">-SUMIF($D$5:$D$94,A18,$C$5:$C$94)*(1+Premissas!$B$14)</f>
        <v>-0</v>
      </c>
      <c r="F18" s="12" t="n">
        <f aca="false">-SUMIF($W$5:$W$94,A18,$V$5:$V$94)</f>
        <v>-0</v>
      </c>
      <c r="G18" s="29" t="n">
        <f aca="false">C18/Premissas!$B$15*Premissas!$B$16*Premissas!$B$20</f>
        <v>0</v>
      </c>
      <c r="H18" s="29" t="n">
        <f aca="false">C18/Premissas!$B$15*Premissas!$B$16*Premissas!$B$21</f>
        <v>0</v>
      </c>
      <c r="I18" s="12" t="n">
        <f aca="false">-G18*(Premissas!$B$54*Unitário!$B$22+Premissas!$B$55*Unitário!$B$23)</f>
        <v>-0</v>
      </c>
      <c r="J18" s="12" t="n">
        <f aca="false">IF($A18-(Premissas!$B$49)&gt;=1,INDEX($G$5:$G$94,$A18-(Premissas!$B$49)),0)*Premissas!$B$23*((Premissas!$B$54*Unitário!$B$22+Premissas!$B$55*Unitário!$B$23)-Premissas!$B$35)</f>
        <v>26.92256476</v>
      </c>
      <c r="K18" s="12" t="n">
        <f aca="false">IF($A18-(Premissas!$B$49+Premissas!$B$52)&gt;=1,INDEX($G$5:$G$94,$A18-(Premissas!$B$49+Premissas!$B$52)),0)*Premissas!$B$24*((Premissas!$B$54*Unitário!$B$22+Premissas!$B$55*Unitário!$B$23)-Premissas!$B$36)</f>
        <v>14.5425035</v>
      </c>
      <c r="L18" s="12" t="n">
        <f aca="false">IF($A18-(Premissas!$B$49+Premissas!$B$50)&gt;=1,INDEX($G$5:$G$94,$A18-(Premissas!$B$49+Premissas!$B$50)),0)*Unitário!$B$21*(Premissas!$B$46-(1-Premissas!$B$55)*Unitário!$B$23-(1-Premissas!$B$54)*Unitário!$B$22)</f>
        <v>0</v>
      </c>
      <c r="M18" s="12" t="n">
        <f aca="false">IF($A18-(Premissas!$B$51)&gt;=1,INDEX($H$5:$H$94,$A18-(Premissas!$B$51)),0)*(Premissas!$B$47-Unitário!$B$25)</f>
        <v>0</v>
      </c>
      <c r="N18" s="12" t="n">
        <f aca="false">-H18*(Premissas!$B$54*Unitário!$B$22+Premissas!$B$28)</f>
        <v>-0</v>
      </c>
      <c r="O18" s="12" t="n">
        <f aca="false">IF($A18-(Premissas!$B$49+Premissas!$B$52)&gt;=1,INDEX($H$5:$H$94,$A18-(Premissas!$B$49+Premissas!$B$52)),0)*Premissas!$B$24*(-Premissas!$B$47-Premissas!$B$36+Premissas!$B$28+Premissas!$B$54*Unitário!$B$22)</f>
        <v>-16.038</v>
      </c>
      <c r="P18" s="12" t="n">
        <f aca="false">-Premissas!$B$37*(IF($A18-(Premissas!$B$49+Premissas!$B$50)&gt;=1,INDEX($G$5:$G$94,$A18-(Premissas!$B$49+Premissas!$B$50)),0)*Unitário!$B$21*Premissas!$B$46+IF($A18-(Premissas!$B$51)&gt;=1,INDEX($H$5:$H$94,$A18-(Premissas!$B$51)),0)*(1-Premissas!$B$24)*Premissas!$B$47)</f>
        <v>-0</v>
      </c>
      <c r="Q18" s="12" t="n">
        <f aca="false">IF(DAY(B18)=1,-(Premissas!$B$38+Premissas!$B$59*Premissas!$B$60),0)</f>
        <v>0</v>
      </c>
      <c r="R18" s="12" t="n">
        <f aca="false">E18+F18+SUM(I18:Q18)</f>
        <v>25.42706826</v>
      </c>
      <c r="S18" s="12" t="n">
        <f aca="false">S17+R18</f>
        <v>-748.8657512</v>
      </c>
      <c r="T18" s="15" t="n">
        <f aca="false">IF(AND($A18&gt;$B$100,S18&gt;=0),1,0)</f>
        <v>0</v>
      </c>
      <c r="U18" s="12" t="n">
        <f aca="false">S18-SUM($E$5:E18)-(1+Premissas!$B$14)*SUM($C$5:C18)</f>
        <v>-1517.2182512</v>
      </c>
      <c r="V18" s="12" t="n">
        <f aca="false">C18/Premissas!$B$15*Premissas!$B$17+(G18+H18)*Premissas!$B$18</f>
        <v>0</v>
      </c>
      <c r="W18" s="15" t="n">
        <f aca="false">IF(V18&gt;0,DATE(YEAR(B18),MONTH(B18)+1,1)-Premissas!$B$11+1,0)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46321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IF(C19&gt;0,IF(DAY(B19)&lt;=Premissas!$B$12,DATE(YEAR(B19),MONTH(B19),Premissas!$B$13),DATE(YEAR(B19),MONTH(B19)+1,Premissas!$B$13))-Premissas!$B$11+1,0)</f>
        <v>0</v>
      </c>
      <c r="E19" s="12" t="n">
        <f aca="false">-SUMIF($D$5:$D$94,A19,$C$5:$C$94)*(1+Premissas!$B$14)</f>
        <v>-0</v>
      </c>
      <c r="F19" s="12" t="n">
        <f aca="false">-SUMIF($W$5:$W$94,A19,$V$5:$V$94)</f>
        <v>-0</v>
      </c>
      <c r="G19" s="29" t="n">
        <f aca="false">C19/Premissas!$B$15*Premissas!$B$16*Premissas!$B$20</f>
        <v>0</v>
      </c>
      <c r="H19" s="29" t="n">
        <f aca="false">C19/Premissas!$B$15*Premissas!$B$16*Premissas!$B$21</f>
        <v>0</v>
      </c>
      <c r="I19" s="12" t="n">
        <f aca="false">-G19*(Premissas!$B$54*Unitário!$B$22+Premissas!$B$55*Unitário!$B$23)</f>
        <v>-0</v>
      </c>
      <c r="J19" s="12" t="n">
        <f aca="false">IF($A19-(Premissas!$B$49)&gt;=1,INDEX($G$5:$G$94,$A19-(Premissas!$B$49)),0)*Premissas!$B$23*((Premissas!$B$54*Unitário!$B$22+Premissas!$B$55*Unitário!$B$23)-Premissas!$B$35)</f>
        <v>0</v>
      </c>
      <c r="K19" s="12" t="n">
        <f aca="false">IF($A19-(Premissas!$B$49+Premissas!$B$52)&gt;=1,INDEX($G$5:$G$94,$A19-(Premissas!$B$49+Premissas!$B$52)),0)*Premissas!$B$24*((Premissas!$B$54*Unitário!$B$22+Premissas!$B$55*Unitário!$B$23)-Premissas!$B$36)</f>
        <v>0</v>
      </c>
      <c r="L19" s="12" t="n">
        <f aca="false">IF($A19-(Premissas!$B$49+Premissas!$B$50)&gt;=1,INDEX($G$5:$G$94,$A19-(Premissas!$B$49+Premissas!$B$50)),0)*Unitário!$B$21*(Premissas!$B$46-(1-Premissas!$B$55)*Unitário!$B$23-(1-Premissas!$B$54)*Unitário!$B$22)</f>
        <v>0</v>
      </c>
      <c r="M19" s="12" t="n">
        <f aca="false">IF($A19-(Premissas!$B$51)&gt;=1,INDEX($H$5:$H$94,$A19-(Premissas!$B$51)),0)*(Premissas!$B$47-Unitário!$B$25)</f>
        <v>0</v>
      </c>
      <c r="N19" s="12" t="n">
        <f aca="false">-H19*(Premissas!$B$54*Unitário!$B$22+Premissas!$B$28)</f>
        <v>-0</v>
      </c>
      <c r="O19" s="12" t="n">
        <f aca="false">IF($A19-(Premissas!$B$49+Premissas!$B$52)&gt;=1,INDEX($H$5:$H$94,$A19-(Premissas!$B$49+Premissas!$B$52)),0)*Premissas!$B$24*(-Premissas!$B$47-Premissas!$B$36+Premissas!$B$28+Premissas!$B$54*Unitário!$B$22)</f>
        <v>-0</v>
      </c>
      <c r="P19" s="12" t="n">
        <f aca="false">-Premissas!$B$37*(IF($A19-(Premissas!$B$49+Premissas!$B$50)&gt;=1,INDEX($G$5:$G$94,$A19-(Premissas!$B$49+Premissas!$B$50)),0)*Unitário!$B$21*Premissas!$B$46+IF($A19-(Premissas!$B$51)&gt;=1,INDEX($H$5:$H$94,$A19-(Premissas!$B$51)),0)*(1-Premissas!$B$24)*Premissas!$B$47)</f>
        <v>-0</v>
      </c>
      <c r="Q19" s="12" t="n">
        <f aca="false">IF(DAY(B19)=1,-(Premissas!$B$38+Premissas!$B$59*Premissas!$B$60),0)</f>
        <v>0</v>
      </c>
      <c r="R19" s="12" t="n">
        <f aca="false">E19+F19+SUM(I19:Q19)</f>
        <v>0</v>
      </c>
      <c r="S19" s="12" t="n">
        <f aca="false">S18+R19</f>
        <v>-748.8657512</v>
      </c>
      <c r="T19" s="15" t="n">
        <f aca="false">IF(AND($A19&gt;$B$100,S19&gt;=0),1,0)</f>
        <v>0</v>
      </c>
      <c r="U19" s="12" t="n">
        <f aca="false">S19-SUM($E$5:E19)-(1+Premissas!$B$14)*SUM($C$5:C19)</f>
        <v>-1517.2182512</v>
      </c>
      <c r="V19" s="12" t="n">
        <f aca="false">C19/Premissas!$B$15*Premissas!$B$17+(G19+H19)*Premissas!$B$18</f>
        <v>0</v>
      </c>
      <c r="W19" s="15" t="n">
        <f aca="false">IF(V19&gt;0,DATE(YEAR(B19),MONTH(B19)+1,1)-Premissas!$B$11+1,0)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46322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IF(C20&gt;0,IF(DAY(B20)&lt;=Premissas!$B$12,DATE(YEAR(B20),MONTH(B20),Premissas!$B$13),DATE(YEAR(B20),MONTH(B20)+1,Premissas!$B$13))-Premissas!$B$11+1,0)</f>
        <v>0</v>
      </c>
      <c r="E20" s="12" t="n">
        <f aca="false">-SUMIF($D$5:$D$94,A20,$C$5:$C$94)*(1+Premissas!$B$14)</f>
        <v>-0</v>
      </c>
      <c r="F20" s="12" t="n">
        <f aca="false">-SUMIF($W$5:$W$94,A20,$V$5:$V$94)</f>
        <v>-0</v>
      </c>
      <c r="G20" s="29" t="n">
        <f aca="false">C20/Premissas!$B$15*Premissas!$B$16*Premissas!$B$20</f>
        <v>0</v>
      </c>
      <c r="H20" s="29" t="n">
        <f aca="false">C20/Premissas!$B$15*Premissas!$B$16*Premissas!$B$21</f>
        <v>0</v>
      </c>
      <c r="I20" s="12" t="n">
        <f aca="false">-G20*(Premissas!$B$54*Unitário!$B$22+Premissas!$B$55*Unitário!$B$23)</f>
        <v>-0</v>
      </c>
      <c r="J20" s="12" t="n">
        <f aca="false">IF($A20-(Premissas!$B$49)&gt;=1,INDEX($G$5:$G$94,$A20-(Premissas!$B$49)),0)*Premissas!$B$23*((Premissas!$B$54*Unitário!$B$22+Premissas!$B$55*Unitário!$B$23)-Premissas!$B$35)</f>
        <v>0</v>
      </c>
      <c r="K20" s="12" t="n">
        <f aca="false">IF($A20-(Premissas!$B$49+Premissas!$B$52)&gt;=1,INDEX($G$5:$G$94,$A20-(Premissas!$B$49+Premissas!$B$52)),0)*Premissas!$B$24*((Premissas!$B$54*Unitário!$B$22+Premissas!$B$55*Unitário!$B$23)-Premissas!$B$36)</f>
        <v>0</v>
      </c>
      <c r="L20" s="12" t="n">
        <f aca="false">IF($A20-(Premissas!$B$49+Premissas!$B$50)&gt;=1,INDEX($G$5:$G$94,$A20-(Premissas!$B$49+Premissas!$B$50)),0)*Unitário!$B$21*(Premissas!$B$46-(1-Premissas!$B$55)*Unitário!$B$23-(1-Premissas!$B$54)*Unitário!$B$22)</f>
        <v>0</v>
      </c>
      <c r="M20" s="12" t="n">
        <f aca="false">IF($A20-(Premissas!$B$51)&gt;=1,INDEX($H$5:$H$94,$A20-(Premissas!$B$51)),0)*(Premissas!$B$47-Unitário!$B$25)</f>
        <v>0</v>
      </c>
      <c r="N20" s="12" t="n">
        <f aca="false">-H20*(Premissas!$B$54*Unitário!$B$22+Premissas!$B$28)</f>
        <v>-0</v>
      </c>
      <c r="O20" s="12" t="n">
        <f aca="false">IF($A20-(Premissas!$B$49+Premissas!$B$52)&gt;=1,INDEX($H$5:$H$94,$A20-(Premissas!$B$49+Premissas!$B$52)),0)*Premissas!$B$24*(-Premissas!$B$47-Premissas!$B$36+Premissas!$B$28+Premissas!$B$54*Unitário!$B$22)</f>
        <v>-0</v>
      </c>
      <c r="P20" s="12" t="n">
        <f aca="false">-Premissas!$B$37*(IF($A20-(Premissas!$B$49+Premissas!$B$50)&gt;=1,INDEX($G$5:$G$94,$A20-(Premissas!$B$49+Premissas!$B$50)),0)*Unitário!$B$21*Premissas!$B$46+IF($A20-(Premissas!$B$51)&gt;=1,INDEX($H$5:$H$94,$A20-(Premissas!$B$51)),0)*(1-Premissas!$B$24)*Premissas!$B$47)</f>
        <v>-0</v>
      </c>
      <c r="Q20" s="12" t="n">
        <f aca="false">IF(DAY(B20)=1,-(Premissas!$B$38+Premissas!$B$59*Premissas!$B$60),0)</f>
        <v>0</v>
      </c>
      <c r="R20" s="12" t="n">
        <f aca="false">E20+F20+SUM(I20:Q20)</f>
        <v>0</v>
      </c>
      <c r="S20" s="12" t="n">
        <f aca="false">S19+R20</f>
        <v>-748.8657512</v>
      </c>
      <c r="T20" s="15" t="n">
        <f aca="false">IF(AND($A20&gt;$B$100,S20&gt;=0),1,0)</f>
        <v>0</v>
      </c>
      <c r="U20" s="12" t="n">
        <f aca="false">S20-SUM($E$5:E20)-(1+Premissas!$B$14)*SUM($C$5:C20)</f>
        <v>-1517.2182512</v>
      </c>
      <c r="V20" s="12" t="n">
        <f aca="false">C20/Premissas!$B$15*Premissas!$B$17+(G20+H20)*Premissas!$B$18</f>
        <v>0</v>
      </c>
      <c r="W20" s="15" t="n">
        <f aca="false">IF(V20&gt;0,DATE(YEAR(B20),MONTH(B20)+1,1)-Premissas!$B$11+1,0)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46323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IF(C21&gt;0,IF(DAY(B21)&lt;=Premissas!$B$12,DATE(YEAR(B21),MONTH(B21),Premissas!$B$13),DATE(YEAR(B21),MONTH(B21)+1,Premissas!$B$13))-Premissas!$B$11+1,0)</f>
        <v>0</v>
      </c>
      <c r="E21" s="12" t="n">
        <f aca="false">-SUMIF($D$5:$D$94,A21,$C$5:$C$94)*(1+Premissas!$B$14)</f>
        <v>-0</v>
      </c>
      <c r="F21" s="12" t="n">
        <f aca="false">-SUMIF($W$5:$W$94,A21,$V$5:$V$94)</f>
        <v>-0</v>
      </c>
      <c r="G21" s="29" t="n">
        <f aca="false">C21/Premissas!$B$15*Premissas!$B$16*Premissas!$B$20</f>
        <v>0</v>
      </c>
      <c r="H21" s="29" t="n">
        <f aca="false">C21/Premissas!$B$15*Premissas!$B$16*Premissas!$B$21</f>
        <v>0</v>
      </c>
      <c r="I21" s="12" t="n">
        <f aca="false">-G21*(Premissas!$B$54*Unitário!$B$22+Premissas!$B$55*Unitário!$B$23)</f>
        <v>-0</v>
      </c>
      <c r="J21" s="12" t="n">
        <f aca="false">IF($A21-(Premissas!$B$49)&gt;=1,INDEX($G$5:$G$94,$A21-(Premissas!$B$49)),0)*Premissas!$B$23*((Premissas!$B$54*Unitário!$B$22+Premissas!$B$55*Unitário!$B$23)-Premissas!$B$35)</f>
        <v>0</v>
      </c>
      <c r="K21" s="12" t="n">
        <f aca="false">IF($A21-(Premissas!$B$49+Premissas!$B$52)&gt;=1,INDEX($G$5:$G$94,$A21-(Premissas!$B$49+Premissas!$B$52)),0)*Premissas!$B$24*((Premissas!$B$54*Unitário!$B$22+Premissas!$B$55*Unitário!$B$23)-Premissas!$B$36)</f>
        <v>11.6340028</v>
      </c>
      <c r="L21" s="12" t="n">
        <f aca="false">IF($A21-(Premissas!$B$49+Premissas!$B$50)&gt;=1,INDEX($G$5:$G$94,$A21-(Premissas!$B$49+Premissas!$B$50)),0)*Unitário!$B$21*(Premissas!$B$46-(1-Premissas!$B$55)*Unitário!$B$23-(1-Premissas!$B$54)*Unitário!$B$22)</f>
        <v>331.8945</v>
      </c>
      <c r="M21" s="12" t="n">
        <f aca="false">IF($A21-(Premissas!$B$51)&gt;=1,INDEX($H$5:$H$94,$A21-(Premissas!$B$51)),0)*(Premissas!$B$47-Unitário!$B$25)</f>
        <v>0</v>
      </c>
      <c r="N21" s="12" t="n">
        <f aca="false">-H21*(Premissas!$B$54*Unitário!$B$22+Premissas!$B$28)</f>
        <v>-0</v>
      </c>
      <c r="O21" s="12" t="n">
        <f aca="false">IF($A21-(Premissas!$B$49+Premissas!$B$52)&gt;=1,INDEX($H$5:$H$94,$A21-(Premissas!$B$49+Premissas!$B$52)),0)*Premissas!$B$24*(-Premissas!$B$47-Premissas!$B$36+Premissas!$B$28+Premissas!$B$54*Unitário!$B$22)</f>
        <v>-12.8304</v>
      </c>
      <c r="P21" s="12" t="n">
        <f aca="false">-Premissas!$B$37*(IF($A21-(Premissas!$B$49+Premissas!$B$50)&gt;=1,INDEX($G$5:$G$94,$A21-(Premissas!$B$49+Premissas!$B$50)),0)*Unitário!$B$21*Premissas!$B$46+IF($A21-(Premissas!$B$51)&gt;=1,INDEX($H$5:$H$94,$A21-(Premissas!$B$51)),0)*(1-Premissas!$B$24)*Premissas!$B$47)</f>
        <v>-0</v>
      </c>
      <c r="Q21" s="12" t="n">
        <f aca="false">IF(DAY(B21)=1,-(Premissas!$B$38+Premissas!$B$59*Premissas!$B$60),0)</f>
        <v>0</v>
      </c>
      <c r="R21" s="12" t="n">
        <f aca="false">E21+F21+SUM(I21:Q21)</f>
        <v>330.6981028</v>
      </c>
      <c r="S21" s="12" t="n">
        <f aca="false">S20+R21</f>
        <v>-418.1676484</v>
      </c>
      <c r="T21" s="15" t="n">
        <f aca="false">IF(AND($A21&gt;$B$100,S21&gt;=0),1,0)</f>
        <v>0</v>
      </c>
      <c r="U21" s="12" t="n">
        <f aca="false">S21-SUM($E$5:E21)-(1+Premissas!$B$14)*SUM($C$5:C21)</f>
        <v>-1186.5201484</v>
      </c>
      <c r="V21" s="12" t="n">
        <f aca="false">C21/Premissas!$B$15*Premissas!$B$17+(G21+H21)*Premissas!$B$18</f>
        <v>0</v>
      </c>
      <c r="W21" s="15" t="n">
        <f aca="false">IF(V21&gt;0,DATE(YEAR(B21),MONTH(B21)+1,1)-Premissas!$B$11+1,0)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46324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IF(C22&gt;0,IF(DAY(B22)&lt;=Premissas!$B$12,DATE(YEAR(B22),MONTH(B22),Premissas!$B$13),DATE(YEAR(B22),MONTH(B22)+1,Premissas!$B$13))-Premissas!$B$11+1,0)</f>
        <v>0</v>
      </c>
      <c r="E22" s="12" t="n">
        <f aca="false">-SUMIF($D$5:$D$94,A22,$C$5:$C$94)*(1+Premissas!$B$14)</f>
        <v>-700.0545</v>
      </c>
      <c r="F22" s="12" t="n">
        <f aca="false">-SUMIF($W$5:$W$94,A22,$V$5:$V$94)</f>
        <v>-0</v>
      </c>
      <c r="G22" s="29" t="n">
        <f aca="false">C22/Premissas!$B$15*Premissas!$B$16*Premissas!$B$20</f>
        <v>0</v>
      </c>
      <c r="H22" s="29" t="n">
        <f aca="false">C22/Premissas!$B$15*Premissas!$B$16*Premissas!$B$21</f>
        <v>0</v>
      </c>
      <c r="I22" s="12" t="n">
        <f aca="false">-G22*(Premissas!$B$54*Unitário!$B$22+Premissas!$B$55*Unitário!$B$23)</f>
        <v>-0</v>
      </c>
      <c r="J22" s="12" t="n">
        <f aca="false">IF($A22-(Premissas!$B$49)&gt;=1,INDEX($G$5:$G$94,$A22-(Premissas!$B$49)),0)*Premissas!$B$23*((Premissas!$B$54*Unitário!$B$22+Premissas!$B$55*Unitário!$B$23)-Premissas!$B$35)</f>
        <v>0</v>
      </c>
      <c r="K22" s="12" t="n">
        <f aca="false">IF($A22-(Premissas!$B$49+Premissas!$B$52)&gt;=1,INDEX($G$5:$G$94,$A22-(Premissas!$B$49+Premissas!$B$52)),0)*Premissas!$B$24*((Premissas!$B$54*Unitário!$B$22+Premissas!$B$55*Unitário!$B$23)-Premissas!$B$36)</f>
        <v>11.6340028</v>
      </c>
      <c r="L22" s="12" t="n">
        <f aca="false">IF($A22-(Premissas!$B$49+Premissas!$B$50)&gt;=1,INDEX($G$5:$G$94,$A22-(Premissas!$B$49+Premissas!$B$50)),0)*Unitário!$B$21*(Premissas!$B$46-(1-Premissas!$B$55)*Unitário!$B$23-(1-Premissas!$B$54)*Unitário!$B$22)</f>
        <v>331.8945</v>
      </c>
      <c r="M22" s="12" t="n">
        <f aca="false">IF($A22-(Premissas!$B$51)&gt;=1,INDEX($H$5:$H$94,$A22-(Premissas!$B$51)),0)*(Premissas!$B$47-Unitário!$B$25)</f>
        <v>0</v>
      </c>
      <c r="N22" s="12" t="n">
        <f aca="false">-H22*(Premissas!$B$54*Unitário!$B$22+Premissas!$B$28)</f>
        <v>-0</v>
      </c>
      <c r="O22" s="12" t="n">
        <f aca="false">IF($A22-(Premissas!$B$49+Premissas!$B$52)&gt;=1,INDEX($H$5:$H$94,$A22-(Premissas!$B$49+Premissas!$B$52)),0)*Premissas!$B$24*(-Premissas!$B$47-Premissas!$B$36+Premissas!$B$28+Premissas!$B$54*Unitário!$B$22)</f>
        <v>-12.8304</v>
      </c>
      <c r="P22" s="12" t="n">
        <f aca="false">-Premissas!$B$37*(IF($A22-(Premissas!$B$49+Premissas!$B$50)&gt;=1,INDEX($G$5:$G$94,$A22-(Premissas!$B$49+Premissas!$B$50)),0)*Unitário!$B$21*Premissas!$B$46+IF($A22-(Premissas!$B$51)&gt;=1,INDEX($H$5:$H$94,$A22-(Premissas!$B$51)),0)*(1-Premissas!$B$24)*Premissas!$B$47)</f>
        <v>-0</v>
      </c>
      <c r="Q22" s="12" t="n">
        <f aca="false">IF(DAY(B22)=1,-(Premissas!$B$38+Premissas!$B$59*Premissas!$B$60),0)</f>
        <v>0</v>
      </c>
      <c r="R22" s="12" t="n">
        <f aca="false">E22+F22+SUM(I22:Q22)</f>
        <v>-369.3563972</v>
      </c>
      <c r="S22" s="12" t="n">
        <f aca="false">S21+R22</f>
        <v>-787.5240456</v>
      </c>
      <c r="T22" s="15" t="n">
        <f aca="false">IF(AND($A22&gt;$B$100,S22&gt;=0),1,0)</f>
        <v>0</v>
      </c>
      <c r="U22" s="12" t="n">
        <f aca="false">S22-SUM($E$5:E22)-(1+Premissas!$B$14)*SUM($C$5:C22)</f>
        <v>-855.8220456</v>
      </c>
      <c r="V22" s="12" t="n">
        <f aca="false">C22/Premissas!$B$15*Premissas!$B$17+(G22+H22)*Premissas!$B$18</f>
        <v>0</v>
      </c>
      <c r="W22" s="15" t="n">
        <f aca="false">IF(V22&gt;0,DATE(YEAR(B22),MONTH(B22)+1,1)-Premissas!$B$11+1,0)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46325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IF(C23&gt;0,IF(DAY(B23)&lt;=Premissas!$B$12,DATE(YEAR(B23),MONTH(B23),Premissas!$B$13),DATE(YEAR(B23),MONTH(B23)+1,Premissas!$B$13))-Premissas!$B$11+1,0)</f>
        <v>0</v>
      </c>
      <c r="E23" s="12" t="n">
        <f aca="false">-SUMIF($D$5:$D$94,A23,$C$5:$C$94)*(1+Premissas!$B$14)</f>
        <v>-0</v>
      </c>
      <c r="F23" s="12" t="n">
        <f aca="false">-SUMIF($W$5:$W$94,A23,$V$5:$V$94)</f>
        <v>-0</v>
      </c>
      <c r="G23" s="29" t="n">
        <f aca="false">C23/Premissas!$B$15*Premissas!$B$16*Premissas!$B$20</f>
        <v>0</v>
      </c>
      <c r="H23" s="29" t="n">
        <f aca="false">C23/Premissas!$B$15*Premissas!$B$16*Premissas!$B$21</f>
        <v>0</v>
      </c>
      <c r="I23" s="12" t="n">
        <f aca="false">-G23*(Premissas!$B$54*Unitário!$B$22+Premissas!$B$55*Unitário!$B$23)</f>
        <v>-0</v>
      </c>
      <c r="J23" s="12" t="n">
        <f aca="false">IF($A23-(Premissas!$B$49)&gt;=1,INDEX($G$5:$G$94,$A23-(Premissas!$B$49)),0)*Premissas!$B$23*((Premissas!$B$54*Unitário!$B$22+Premissas!$B$55*Unitário!$B$23)-Premissas!$B$35)</f>
        <v>0</v>
      </c>
      <c r="K23" s="12" t="n">
        <f aca="false">IF($A23-(Premissas!$B$49+Premissas!$B$52)&gt;=1,INDEX($G$5:$G$94,$A23-(Premissas!$B$49+Premissas!$B$52)),0)*Premissas!$B$24*((Premissas!$B$54*Unitário!$B$22+Premissas!$B$55*Unitário!$B$23)-Premissas!$B$36)</f>
        <v>11.6340028</v>
      </c>
      <c r="L23" s="12" t="n">
        <f aca="false">IF($A23-(Premissas!$B$49+Premissas!$B$50)&gt;=1,INDEX($G$5:$G$94,$A23-(Premissas!$B$49+Premissas!$B$50)),0)*Unitário!$B$21*(Premissas!$B$46-(1-Premissas!$B$55)*Unitário!$B$23-(1-Premissas!$B$54)*Unitário!$B$22)</f>
        <v>331.8945</v>
      </c>
      <c r="M23" s="12" t="n">
        <f aca="false">IF($A23-(Premissas!$B$51)&gt;=1,INDEX($H$5:$H$94,$A23-(Premissas!$B$51)),0)*(Premissas!$B$47-Unitário!$B$25)</f>
        <v>0</v>
      </c>
      <c r="N23" s="12" t="n">
        <f aca="false">-H23*(Premissas!$B$54*Unitário!$B$22+Premissas!$B$28)</f>
        <v>-0</v>
      </c>
      <c r="O23" s="12" t="n">
        <f aca="false">IF($A23-(Premissas!$B$49+Premissas!$B$52)&gt;=1,INDEX($H$5:$H$94,$A23-(Premissas!$B$49+Premissas!$B$52)),0)*Premissas!$B$24*(-Premissas!$B$47-Premissas!$B$36+Premissas!$B$28+Premissas!$B$54*Unitário!$B$22)</f>
        <v>-12.8304</v>
      </c>
      <c r="P23" s="12" t="n">
        <f aca="false">-Premissas!$B$37*(IF($A23-(Premissas!$B$49+Premissas!$B$50)&gt;=1,INDEX($G$5:$G$94,$A23-(Premissas!$B$49+Premissas!$B$50)),0)*Unitário!$B$21*Premissas!$B$46+IF($A23-(Premissas!$B$51)&gt;=1,INDEX($H$5:$H$94,$A23-(Premissas!$B$51)),0)*(1-Premissas!$B$24)*Premissas!$B$47)</f>
        <v>-0</v>
      </c>
      <c r="Q23" s="12" t="n">
        <f aca="false">IF(DAY(B23)=1,-(Premissas!$B$38+Premissas!$B$59*Premissas!$B$60),0)</f>
        <v>0</v>
      </c>
      <c r="R23" s="12" t="n">
        <f aca="false">E23+F23+SUM(I23:Q23)</f>
        <v>330.6981028</v>
      </c>
      <c r="S23" s="12" t="n">
        <f aca="false">S22+R23</f>
        <v>-456.8259428</v>
      </c>
      <c r="T23" s="15" t="n">
        <f aca="false">IF(AND($A23&gt;$B$100,S23&gt;=0),1,0)</f>
        <v>0</v>
      </c>
      <c r="U23" s="12" t="n">
        <f aca="false">S23-SUM($E$5:E23)-(1+Premissas!$B$14)*SUM($C$5:C23)</f>
        <v>-525.1239428</v>
      </c>
      <c r="V23" s="12" t="n">
        <f aca="false">C23/Premissas!$B$15*Premissas!$B$17+(G23+H23)*Premissas!$B$18</f>
        <v>0</v>
      </c>
      <c r="W23" s="15" t="n">
        <f aca="false">IF(V23&gt;0,DATE(YEAR(B23),MONTH(B23)+1,1)-Premissas!$B$11+1,0)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46326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IF(C24&gt;0,IF(DAY(B24)&lt;=Premissas!$B$12,DATE(YEAR(B24),MONTH(B24),Premissas!$B$13),DATE(YEAR(B24),MONTH(B24)+1,Premissas!$B$13))-Premissas!$B$11+1,0)</f>
        <v>0</v>
      </c>
      <c r="E24" s="12" t="n">
        <f aca="false">-SUMIF($D$5:$D$94,A24,$C$5:$C$94)*(1+Premissas!$B$14)</f>
        <v>-0</v>
      </c>
      <c r="F24" s="12" t="n">
        <f aca="false">-SUMIF($W$5:$W$94,A24,$V$5:$V$94)</f>
        <v>-0</v>
      </c>
      <c r="G24" s="29" t="n">
        <f aca="false">C24/Premissas!$B$15*Premissas!$B$16*Premissas!$B$20</f>
        <v>0</v>
      </c>
      <c r="H24" s="29" t="n">
        <f aca="false">C24/Premissas!$B$15*Premissas!$B$16*Premissas!$B$21</f>
        <v>0</v>
      </c>
      <c r="I24" s="12" t="n">
        <f aca="false">-G24*(Premissas!$B$54*Unitário!$B$22+Premissas!$B$55*Unitário!$B$23)</f>
        <v>-0</v>
      </c>
      <c r="J24" s="12" t="n">
        <f aca="false">IF($A24-(Premissas!$B$49)&gt;=1,INDEX($G$5:$G$94,$A24-(Premissas!$B$49)),0)*Premissas!$B$23*((Premissas!$B$54*Unitário!$B$22+Premissas!$B$55*Unitário!$B$23)-Premissas!$B$35)</f>
        <v>0</v>
      </c>
      <c r="K24" s="12" t="n">
        <f aca="false">IF($A24-(Premissas!$B$49+Premissas!$B$52)&gt;=1,INDEX($G$5:$G$94,$A24-(Premissas!$B$49+Premissas!$B$52)),0)*Premissas!$B$24*((Premissas!$B$54*Unitário!$B$22+Premissas!$B$55*Unitário!$B$23)-Premissas!$B$36)</f>
        <v>11.6340028</v>
      </c>
      <c r="L24" s="12" t="n">
        <f aca="false">IF($A24-(Premissas!$B$49+Premissas!$B$50)&gt;=1,INDEX($G$5:$G$94,$A24-(Premissas!$B$49+Premissas!$B$50)),0)*Unitário!$B$21*(Premissas!$B$46-(1-Premissas!$B$55)*Unitário!$B$23-(1-Premissas!$B$54)*Unitário!$B$22)</f>
        <v>331.8945</v>
      </c>
      <c r="M24" s="12" t="n">
        <f aca="false">IF($A24-(Premissas!$B$51)&gt;=1,INDEX($H$5:$H$94,$A24-(Premissas!$B$51)),0)*(Premissas!$B$47-Unitário!$B$25)</f>
        <v>0</v>
      </c>
      <c r="N24" s="12" t="n">
        <f aca="false">-H24*(Premissas!$B$54*Unitário!$B$22+Premissas!$B$28)</f>
        <v>-0</v>
      </c>
      <c r="O24" s="12" t="n">
        <f aca="false">IF($A24-(Premissas!$B$49+Premissas!$B$52)&gt;=1,INDEX($H$5:$H$94,$A24-(Premissas!$B$49+Premissas!$B$52)),0)*Premissas!$B$24*(-Premissas!$B$47-Premissas!$B$36+Premissas!$B$28+Premissas!$B$54*Unitário!$B$22)</f>
        <v>-12.8304</v>
      </c>
      <c r="P24" s="12" t="n">
        <f aca="false">-Premissas!$B$37*(IF($A24-(Premissas!$B$49+Premissas!$B$50)&gt;=1,INDEX($G$5:$G$94,$A24-(Premissas!$B$49+Premissas!$B$50)),0)*Unitário!$B$21*Premissas!$B$46+IF($A24-(Premissas!$B$51)&gt;=1,INDEX($H$5:$H$94,$A24-(Premissas!$B$51)),0)*(1-Premissas!$B$24)*Premissas!$B$47)</f>
        <v>-0</v>
      </c>
      <c r="Q24" s="12" t="n">
        <f aca="false">IF(DAY(B24)=1,-(Premissas!$B$38+Premissas!$B$59*Premissas!$B$60),0)</f>
        <v>0</v>
      </c>
      <c r="R24" s="12" t="n">
        <f aca="false">E24+F24+SUM(I24:Q24)</f>
        <v>330.6981028</v>
      </c>
      <c r="S24" s="12" t="n">
        <f aca="false">S23+R24</f>
        <v>-126.12784</v>
      </c>
      <c r="T24" s="15" t="n">
        <f aca="false">IF(AND($A24&gt;$B$100,S24&gt;=0),1,0)</f>
        <v>0</v>
      </c>
      <c r="U24" s="12" t="n">
        <f aca="false">S24-SUM($E$5:E24)-(1+Premissas!$B$14)*SUM($C$5:C24)</f>
        <v>-194.42584</v>
      </c>
      <c r="V24" s="12" t="n">
        <f aca="false">C24/Premissas!$B$15*Premissas!$B$17+(G24+H24)*Premissas!$B$18</f>
        <v>0</v>
      </c>
      <c r="W24" s="15" t="n">
        <f aca="false">IF(V24&gt;0,DATE(YEAR(B24),MONTH(B24)+1,1)-Premissas!$B$11+1,0)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46327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IF(C25&gt;0,IF(DAY(B25)&lt;=Premissas!$B$12,DATE(YEAR(B25),MONTH(B25),Premissas!$B$13),DATE(YEAR(B25),MONTH(B25)+1,Premissas!$B$13))-Premissas!$B$11+1,0)</f>
        <v>0</v>
      </c>
      <c r="E25" s="12" t="n">
        <f aca="false">-SUMIF($D$5:$D$94,A25,$C$5:$C$94)*(1+Premissas!$B$14)</f>
        <v>-0</v>
      </c>
      <c r="F25" s="12" t="n">
        <f aca="false">-SUMIF($W$5:$W$94,A25,$V$5:$V$94)</f>
        <v>-123.3</v>
      </c>
      <c r="G25" s="29" t="n">
        <f aca="false">C25/Premissas!$B$15*Premissas!$B$16*Premissas!$B$20</f>
        <v>0</v>
      </c>
      <c r="H25" s="29" t="n">
        <f aca="false">C25/Premissas!$B$15*Premissas!$B$16*Premissas!$B$21</f>
        <v>0</v>
      </c>
      <c r="I25" s="12" t="n">
        <f aca="false">-G25*(Premissas!$B$54*Unitário!$B$22+Premissas!$B$55*Unitário!$B$23)</f>
        <v>-0</v>
      </c>
      <c r="J25" s="12" t="n">
        <f aca="false">IF($A25-(Premissas!$B$49)&gt;=1,INDEX($G$5:$G$94,$A25-(Premissas!$B$49)),0)*Premissas!$B$23*((Premissas!$B$54*Unitário!$B$22+Premissas!$B$55*Unitário!$B$23)-Premissas!$B$35)</f>
        <v>0</v>
      </c>
      <c r="K25" s="12" t="n">
        <f aca="false">IF($A25-(Premissas!$B$49+Premissas!$B$52)&gt;=1,INDEX($G$5:$G$94,$A25-(Premissas!$B$49+Premissas!$B$52)),0)*Premissas!$B$24*((Premissas!$B$54*Unitário!$B$22+Premissas!$B$55*Unitário!$B$23)-Premissas!$B$36)</f>
        <v>11.6340028</v>
      </c>
      <c r="L25" s="12" t="n">
        <f aca="false">IF($A25-(Premissas!$B$49+Premissas!$B$50)&gt;=1,INDEX($G$5:$G$94,$A25-(Premissas!$B$49+Premissas!$B$50)),0)*Unitário!$B$21*(Premissas!$B$46-(1-Premissas!$B$55)*Unitário!$B$23-(1-Premissas!$B$54)*Unitário!$B$22)</f>
        <v>331.8945</v>
      </c>
      <c r="M25" s="12" t="n">
        <f aca="false">IF($A25-(Premissas!$B$51)&gt;=1,INDEX($H$5:$H$94,$A25-(Premissas!$B$51)),0)*(Premissas!$B$47-Unitário!$B$25)</f>
        <v>0</v>
      </c>
      <c r="N25" s="12" t="n">
        <f aca="false">-H25*(Premissas!$B$54*Unitário!$B$22+Premissas!$B$28)</f>
        <v>-0</v>
      </c>
      <c r="O25" s="12" t="n">
        <f aca="false">IF($A25-(Premissas!$B$49+Premissas!$B$52)&gt;=1,INDEX($H$5:$H$94,$A25-(Premissas!$B$49+Premissas!$B$52)),0)*Premissas!$B$24*(-Premissas!$B$47-Premissas!$B$36+Premissas!$B$28+Premissas!$B$54*Unitário!$B$22)</f>
        <v>-12.8304</v>
      </c>
      <c r="P25" s="12" t="n">
        <f aca="false">-Premissas!$B$37*(IF($A25-(Premissas!$B$49+Premissas!$B$50)&gt;=1,INDEX($G$5:$G$94,$A25-(Premissas!$B$49+Premissas!$B$50)),0)*Unitário!$B$21*Premissas!$B$46+IF($A25-(Premissas!$B$51)&gt;=1,INDEX($H$5:$H$94,$A25-(Premissas!$B$51)),0)*(1-Premissas!$B$24)*Premissas!$B$47)</f>
        <v>-0</v>
      </c>
      <c r="Q25" s="12" t="n">
        <f aca="false">IF(DAY(B25)=1,-(Premissas!$B$38+Premissas!$B$59*Premissas!$B$60),0)</f>
        <v>-57.49</v>
      </c>
      <c r="R25" s="12" t="n">
        <f aca="false">E25+F25+SUM(I25:Q25)</f>
        <v>149.9081028</v>
      </c>
      <c r="S25" s="12" t="n">
        <f aca="false">S24+R25</f>
        <v>23.7802628</v>
      </c>
      <c r="T25" s="15" t="n">
        <f aca="false">IF(AND($A25&gt;$B$100,S25&gt;=0),1,0)</f>
        <v>1</v>
      </c>
      <c r="U25" s="12" t="n">
        <f aca="false">S25-SUM($E$5:E25)-(1+Premissas!$B$14)*SUM($C$5:C25)</f>
        <v>-44.5177371999999</v>
      </c>
      <c r="V25" s="12" t="n">
        <f aca="false">C25/Premissas!$B$15*Premissas!$B$17+(G25+H25)*Premissas!$B$18</f>
        <v>0</v>
      </c>
      <c r="W25" s="15" t="n">
        <f aca="false">IF(V25&gt;0,DATE(YEAR(B25),MONTH(B25)+1,1)-Premissas!$B$11+1,0)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46328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IF(C26&gt;0,IF(DAY(B26)&lt;=Premissas!$B$12,DATE(YEAR(B26),MONTH(B26),Premissas!$B$13),DATE(YEAR(B26),MONTH(B26)+1,Premissas!$B$13))-Premissas!$B$11+1,0)</f>
        <v>0</v>
      </c>
      <c r="E26" s="12" t="n">
        <f aca="false">-SUMIF($D$5:$D$94,A26,$C$5:$C$94)*(1+Premissas!$B$14)</f>
        <v>-0</v>
      </c>
      <c r="F26" s="12" t="n">
        <f aca="false">-SUMIF($W$5:$W$94,A26,$V$5:$V$94)</f>
        <v>-0</v>
      </c>
      <c r="G26" s="29" t="n">
        <f aca="false">C26/Premissas!$B$15*Premissas!$B$16*Premissas!$B$20</f>
        <v>0</v>
      </c>
      <c r="H26" s="29" t="n">
        <f aca="false">C26/Premissas!$B$15*Premissas!$B$16*Premissas!$B$21</f>
        <v>0</v>
      </c>
      <c r="I26" s="12" t="n">
        <f aca="false">-G26*(Premissas!$B$54*Unitário!$B$22+Premissas!$B$55*Unitário!$B$23)</f>
        <v>-0</v>
      </c>
      <c r="J26" s="12" t="n">
        <f aca="false">IF($A26-(Premissas!$B$49)&gt;=1,INDEX($G$5:$G$94,$A26-(Premissas!$B$49)),0)*Premissas!$B$23*((Premissas!$B$54*Unitário!$B$22+Premissas!$B$55*Unitário!$B$23)-Premissas!$B$35)</f>
        <v>0</v>
      </c>
      <c r="K26" s="12" t="n">
        <f aca="false">IF($A26-(Premissas!$B$49+Premissas!$B$52)&gt;=1,INDEX($G$5:$G$94,$A26-(Premissas!$B$49+Premissas!$B$52)),0)*Premissas!$B$24*((Premissas!$B$54*Unitário!$B$22+Premissas!$B$55*Unitário!$B$23)-Premissas!$B$36)</f>
        <v>0</v>
      </c>
      <c r="L26" s="12" t="n">
        <f aca="false">IF($A26-(Premissas!$B$49+Premissas!$B$50)&gt;=1,INDEX($G$5:$G$94,$A26-(Premissas!$B$49+Premissas!$B$50)),0)*Unitário!$B$21*(Premissas!$B$46-(1-Premissas!$B$55)*Unitário!$B$23-(1-Premissas!$B$54)*Unitário!$B$22)</f>
        <v>0</v>
      </c>
      <c r="M26" s="12" t="n">
        <f aca="false">IF($A26-(Premissas!$B$51)&gt;=1,INDEX($H$5:$H$94,$A26-(Premissas!$B$51)),0)*(Premissas!$B$47-Unitário!$B$25)</f>
        <v>0</v>
      </c>
      <c r="N26" s="12" t="n">
        <f aca="false">-H26*(Premissas!$B$54*Unitário!$B$22+Premissas!$B$28)</f>
        <v>-0</v>
      </c>
      <c r="O26" s="12" t="n">
        <f aca="false">IF($A26-(Premissas!$B$49+Premissas!$B$52)&gt;=1,INDEX($H$5:$H$94,$A26-(Premissas!$B$49+Premissas!$B$52)),0)*Premissas!$B$24*(-Premissas!$B$47-Premissas!$B$36+Premissas!$B$28+Premissas!$B$54*Unitário!$B$22)</f>
        <v>-0</v>
      </c>
      <c r="P26" s="12" t="n">
        <f aca="false">-Premissas!$B$37*(IF($A26-(Premissas!$B$49+Premissas!$B$50)&gt;=1,INDEX($G$5:$G$94,$A26-(Premissas!$B$49+Premissas!$B$50)),0)*Unitário!$B$21*Premissas!$B$46+IF($A26-(Premissas!$B$51)&gt;=1,INDEX($H$5:$H$94,$A26-(Premissas!$B$51)),0)*(1-Premissas!$B$24)*Premissas!$B$47)</f>
        <v>-0</v>
      </c>
      <c r="Q26" s="12" t="n">
        <f aca="false">IF(DAY(B26)=1,-(Premissas!$B$38+Premissas!$B$59*Premissas!$B$60),0)</f>
        <v>0</v>
      </c>
      <c r="R26" s="12" t="n">
        <f aca="false">E26+F26+SUM(I26:Q26)</f>
        <v>0</v>
      </c>
      <c r="S26" s="12" t="n">
        <f aca="false">S25+R26</f>
        <v>23.7802628</v>
      </c>
      <c r="T26" s="15" t="n">
        <f aca="false">IF(AND($A26&gt;$B$100,S26&gt;=0),1,0)</f>
        <v>1</v>
      </c>
      <c r="U26" s="12" t="n">
        <f aca="false">S26-SUM($E$5:E26)-(1+Premissas!$B$14)*SUM($C$5:C26)</f>
        <v>-44.5177371999999</v>
      </c>
      <c r="V26" s="12" t="n">
        <f aca="false">C26/Premissas!$B$15*Premissas!$B$17+(G26+H26)*Premissas!$B$18</f>
        <v>0</v>
      </c>
      <c r="W26" s="15" t="n">
        <f aca="false">IF(V26&gt;0,DATE(YEAR(B26),MONTH(B26)+1,1)-Premissas!$B$11+1,0)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46329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IF(C27&gt;0,IF(DAY(B27)&lt;=Premissas!$B$12,DATE(YEAR(B27),MONTH(B27),Premissas!$B$13),DATE(YEAR(B27),MONTH(B27)+1,Premissas!$B$13))-Premissas!$B$11+1,0)</f>
        <v>0</v>
      </c>
      <c r="E27" s="12" t="n">
        <f aca="false">-SUMIF($D$5:$D$94,A27,$C$5:$C$94)*(1+Premissas!$B$14)</f>
        <v>-0</v>
      </c>
      <c r="F27" s="12" t="n">
        <f aca="false">-SUMIF($W$5:$W$94,A27,$V$5:$V$94)</f>
        <v>-0</v>
      </c>
      <c r="G27" s="29" t="n">
        <f aca="false">C27/Premissas!$B$15*Premissas!$B$16*Premissas!$B$20</f>
        <v>0</v>
      </c>
      <c r="H27" s="29" t="n">
        <f aca="false">C27/Premissas!$B$15*Premissas!$B$16*Premissas!$B$21</f>
        <v>0</v>
      </c>
      <c r="I27" s="12" t="n">
        <f aca="false">-G27*(Premissas!$B$54*Unitário!$B$22+Premissas!$B$55*Unitário!$B$23)</f>
        <v>-0</v>
      </c>
      <c r="J27" s="12" t="n">
        <f aca="false">IF($A27-(Premissas!$B$49)&gt;=1,INDEX($G$5:$G$94,$A27-(Premissas!$B$49)),0)*Premissas!$B$23*((Premissas!$B$54*Unitário!$B$22+Premissas!$B$55*Unitário!$B$23)-Premissas!$B$35)</f>
        <v>0</v>
      </c>
      <c r="K27" s="12" t="n">
        <f aca="false">IF($A27-(Premissas!$B$49+Premissas!$B$52)&gt;=1,INDEX($G$5:$G$94,$A27-(Premissas!$B$49+Premissas!$B$52)),0)*Premissas!$B$24*((Premissas!$B$54*Unitário!$B$22+Premissas!$B$55*Unitário!$B$23)-Premissas!$B$36)</f>
        <v>0</v>
      </c>
      <c r="L27" s="12" t="n">
        <f aca="false">IF($A27-(Premissas!$B$49+Premissas!$B$50)&gt;=1,INDEX($G$5:$G$94,$A27-(Premissas!$B$49+Premissas!$B$50)),0)*Unitário!$B$21*(Premissas!$B$46-(1-Premissas!$B$55)*Unitário!$B$23-(1-Premissas!$B$54)*Unitário!$B$22)</f>
        <v>0</v>
      </c>
      <c r="M27" s="12" t="n">
        <f aca="false">IF($A27-(Premissas!$B$51)&gt;=1,INDEX($H$5:$H$94,$A27-(Premissas!$B$51)),0)*(Premissas!$B$47-Unitário!$B$25)</f>
        <v>0</v>
      </c>
      <c r="N27" s="12" t="n">
        <f aca="false">-H27*(Premissas!$B$54*Unitário!$B$22+Premissas!$B$28)</f>
        <v>-0</v>
      </c>
      <c r="O27" s="12" t="n">
        <f aca="false">IF($A27-(Premissas!$B$49+Premissas!$B$52)&gt;=1,INDEX($H$5:$H$94,$A27-(Premissas!$B$49+Premissas!$B$52)),0)*Premissas!$B$24*(-Premissas!$B$47-Premissas!$B$36+Premissas!$B$28+Premissas!$B$54*Unitário!$B$22)</f>
        <v>-0</v>
      </c>
      <c r="P27" s="12" t="n">
        <f aca="false">-Premissas!$B$37*(IF($A27-(Premissas!$B$49+Premissas!$B$50)&gt;=1,INDEX($G$5:$G$94,$A27-(Premissas!$B$49+Premissas!$B$50)),0)*Unitário!$B$21*Premissas!$B$46+IF($A27-(Premissas!$B$51)&gt;=1,INDEX($H$5:$H$94,$A27-(Premissas!$B$51)),0)*(1-Premissas!$B$24)*Premissas!$B$47)</f>
        <v>-0</v>
      </c>
      <c r="Q27" s="12" t="n">
        <f aca="false">IF(DAY(B27)=1,-(Premissas!$B$38+Premissas!$B$59*Premissas!$B$60),0)</f>
        <v>0</v>
      </c>
      <c r="R27" s="12" t="n">
        <f aca="false">E27+F27+SUM(I27:Q27)</f>
        <v>0</v>
      </c>
      <c r="S27" s="12" t="n">
        <f aca="false">S26+R27</f>
        <v>23.7802628</v>
      </c>
      <c r="T27" s="15" t="n">
        <f aca="false">IF(AND($A27&gt;$B$100,S27&gt;=0),1,0)</f>
        <v>1</v>
      </c>
      <c r="U27" s="12" t="n">
        <f aca="false">S27-SUM($E$5:E27)-(1+Premissas!$B$14)*SUM($C$5:C27)</f>
        <v>-44.5177371999999</v>
      </c>
      <c r="V27" s="12" t="n">
        <f aca="false">C27/Premissas!$B$15*Premissas!$B$17+(G27+H27)*Premissas!$B$18</f>
        <v>0</v>
      </c>
      <c r="W27" s="15" t="n">
        <f aca="false">IF(V27&gt;0,DATE(YEAR(B27),MONTH(B27)+1,1)-Premissas!$B$11+1,0)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46330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IF(C28&gt;0,IF(DAY(B28)&lt;=Premissas!$B$12,DATE(YEAR(B28),MONTH(B28),Premissas!$B$13),DATE(YEAR(B28),MONTH(B28)+1,Premissas!$B$13))-Premissas!$B$11+1,0)</f>
        <v>0</v>
      </c>
      <c r="E28" s="12" t="n">
        <f aca="false">-SUMIF($D$5:$D$94,A28,$C$5:$C$94)*(1+Premissas!$B$14)</f>
        <v>-0</v>
      </c>
      <c r="F28" s="12" t="n">
        <f aca="false">-SUMIF($W$5:$W$94,A28,$V$5:$V$94)</f>
        <v>-0</v>
      </c>
      <c r="G28" s="29" t="n">
        <f aca="false">C28/Premissas!$B$15*Premissas!$B$16*Premissas!$B$20</f>
        <v>0</v>
      </c>
      <c r="H28" s="29" t="n">
        <f aca="false">C28/Premissas!$B$15*Premissas!$B$16*Premissas!$B$21</f>
        <v>0</v>
      </c>
      <c r="I28" s="12" t="n">
        <f aca="false">-G28*(Premissas!$B$54*Unitário!$B$22+Premissas!$B$55*Unitário!$B$23)</f>
        <v>-0</v>
      </c>
      <c r="J28" s="12" t="n">
        <f aca="false">IF($A28-(Premissas!$B$49)&gt;=1,INDEX($G$5:$G$94,$A28-(Premissas!$B$49)),0)*Premissas!$B$23*((Premissas!$B$54*Unitário!$B$22+Premissas!$B$55*Unitário!$B$23)-Premissas!$B$35)</f>
        <v>0</v>
      </c>
      <c r="K28" s="12" t="n">
        <f aca="false">IF($A28-(Premissas!$B$49+Premissas!$B$52)&gt;=1,INDEX($G$5:$G$94,$A28-(Premissas!$B$49+Premissas!$B$52)),0)*Premissas!$B$24*((Premissas!$B$54*Unitário!$B$22+Premissas!$B$55*Unitário!$B$23)-Premissas!$B$36)</f>
        <v>0</v>
      </c>
      <c r="L28" s="12" t="n">
        <f aca="false">IF($A28-(Premissas!$B$49+Premissas!$B$50)&gt;=1,INDEX($G$5:$G$94,$A28-(Premissas!$B$49+Premissas!$B$50)),0)*Unitário!$B$21*(Premissas!$B$46-(1-Premissas!$B$55)*Unitário!$B$23-(1-Premissas!$B$54)*Unitário!$B$22)</f>
        <v>265.5156</v>
      </c>
      <c r="M28" s="12" t="n">
        <f aca="false">IF($A28-(Premissas!$B$51)&gt;=1,INDEX($H$5:$H$94,$A28-(Premissas!$B$51)),0)*(Premissas!$B$47-Unitário!$B$25)</f>
        <v>0</v>
      </c>
      <c r="N28" s="12" t="n">
        <f aca="false">-H28*(Premissas!$B$54*Unitário!$B$22+Premissas!$B$28)</f>
        <v>-0</v>
      </c>
      <c r="O28" s="12" t="n">
        <f aca="false">IF($A28-(Premissas!$B$49+Premissas!$B$52)&gt;=1,INDEX($H$5:$H$94,$A28-(Premissas!$B$49+Premissas!$B$52)),0)*Premissas!$B$24*(-Premissas!$B$47-Premissas!$B$36+Premissas!$B$28+Premissas!$B$54*Unitário!$B$22)</f>
        <v>-0</v>
      </c>
      <c r="P28" s="12" t="n">
        <f aca="false">-Premissas!$B$37*(IF($A28-(Premissas!$B$49+Premissas!$B$50)&gt;=1,INDEX($G$5:$G$94,$A28-(Premissas!$B$49+Premissas!$B$50)),0)*Unitário!$B$21*Premissas!$B$46+IF($A28-(Premissas!$B$51)&gt;=1,INDEX($H$5:$H$94,$A28-(Premissas!$B$51)),0)*(1-Premissas!$B$24)*Premissas!$B$47)</f>
        <v>-0</v>
      </c>
      <c r="Q28" s="12" t="n">
        <f aca="false">IF(DAY(B28)=1,-(Premissas!$B$38+Premissas!$B$59*Premissas!$B$60),0)</f>
        <v>0</v>
      </c>
      <c r="R28" s="12" t="n">
        <f aca="false">E28+F28+SUM(I28:Q28)</f>
        <v>265.5156</v>
      </c>
      <c r="S28" s="12" t="n">
        <f aca="false">S27+R28</f>
        <v>289.2958628</v>
      </c>
      <c r="T28" s="15" t="n">
        <f aca="false">IF(AND($A28&gt;$B$100,S28&gt;=0),1,0)</f>
        <v>1</v>
      </c>
      <c r="U28" s="12" t="n">
        <f aca="false">S28-SUM($E$5:E28)-(1+Premissas!$B$14)*SUM($C$5:C28)</f>
        <v>220.9978628</v>
      </c>
      <c r="V28" s="12" t="n">
        <f aca="false">C28/Premissas!$B$15*Premissas!$B$17+(G28+H28)*Premissas!$B$18</f>
        <v>0</v>
      </c>
      <c r="W28" s="15" t="n">
        <f aca="false">IF(V28&gt;0,DATE(YEAR(B28),MONTH(B28)+1,1)-Premissas!$B$11+1,0)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46331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IF(C29&gt;0,IF(DAY(B29)&lt;=Premissas!$B$12,DATE(YEAR(B29),MONTH(B29),Premissas!$B$13),DATE(YEAR(B29),MONTH(B29)+1,Premissas!$B$13))-Premissas!$B$11+1,0)</f>
        <v>0</v>
      </c>
      <c r="E29" s="12" t="n">
        <f aca="false">-SUMIF($D$5:$D$94,A29,$C$5:$C$94)*(1+Premissas!$B$14)</f>
        <v>-0</v>
      </c>
      <c r="F29" s="12" t="n">
        <f aca="false">-SUMIF($W$5:$W$94,A29,$V$5:$V$94)</f>
        <v>-0</v>
      </c>
      <c r="G29" s="29" t="n">
        <f aca="false">C29/Premissas!$B$15*Premissas!$B$16*Premissas!$B$20</f>
        <v>0</v>
      </c>
      <c r="H29" s="29" t="n">
        <f aca="false">C29/Premissas!$B$15*Premissas!$B$16*Premissas!$B$21</f>
        <v>0</v>
      </c>
      <c r="I29" s="12" t="n">
        <f aca="false">-G29*(Premissas!$B$54*Unitário!$B$22+Premissas!$B$55*Unitário!$B$23)</f>
        <v>-0</v>
      </c>
      <c r="J29" s="12" t="n">
        <f aca="false">IF($A29-(Premissas!$B$49)&gt;=1,INDEX($G$5:$G$94,$A29-(Premissas!$B$49)),0)*Premissas!$B$23*((Premissas!$B$54*Unitário!$B$22+Premissas!$B$55*Unitário!$B$23)-Premissas!$B$35)</f>
        <v>0</v>
      </c>
      <c r="K29" s="12" t="n">
        <f aca="false">IF($A29-(Premissas!$B$49+Premissas!$B$52)&gt;=1,INDEX($G$5:$G$94,$A29-(Premissas!$B$49+Premissas!$B$52)),0)*Premissas!$B$24*((Premissas!$B$54*Unitário!$B$22+Premissas!$B$55*Unitário!$B$23)-Premissas!$B$36)</f>
        <v>0</v>
      </c>
      <c r="L29" s="12" t="n">
        <f aca="false">IF($A29-(Premissas!$B$49+Premissas!$B$50)&gt;=1,INDEX($G$5:$G$94,$A29-(Premissas!$B$49+Premissas!$B$50)),0)*Unitário!$B$21*(Premissas!$B$46-(1-Premissas!$B$55)*Unitário!$B$23-(1-Premissas!$B$54)*Unitário!$B$22)</f>
        <v>265.5156</v>
      </c>
      <c r="M29" s="12" t="n">
        <f aca="false">IF($A29-(Premissas!$B$51)&gt;=1,INDEX($H$5:$H$94,$A29-(Premissas!$B$51)),0)*(Premissas!$B$47-Unitário!$B$25)</f>
        <v>0</v>
      </c>
      <c r="N29" s="12" t="n">
        <f aca="false">-H29*(Premissas!$B$54*Unitário!$B$22+Premissas!$B$28)</f>
        <v>-0</v>
      </c>
      <c r="O29" s="12" t="n">
        <f aca="false">IF($A29-(Premissas!$B$49+Premissas!$B$52)&gt;=1,INDEX($H$5:$H$94,$A29-(Premissas!$B$49+Premissas!$B$52)),0)*Premissas!$B$24*(-Premissas!$B$47-Premissas!$B$36+Premissas!$B$28+Premissas!$B$54*Unitário!$B$22)</f>
        <v>-0</v>
      </c>
      <c r="P29" s="12" t="n">
        <f aca="false">-Premissas!$B$37*(IF($A29-(Premissas!$B$49+Premissas!$B$50)&gt;=1,INDEX($G$5:$G$94,$A29-(Premissas!$B$49+Premissas!$B$50)),0)*Unitário!$B$21*Premissas!$B$46+IF($A29-(Premissas!$B$51)&gt;=1,INDEX($H$5:$H$94,$A29-(Premissas!$B$51)),0)*(1-Premissas!$B$24)*Premissas!$B$47)</f>
        <v>-0</v>
      </c>
      <c r="Q29" s="12" t="n">
        <f aca="false">IF(DAY(B29)=1,-(Premissas!$B$38+Premissas!$B$59*Premissas!$B$60),0)</f>
        <v>0</v>
      </c>
      <c r="R29" s="12" t="n">
        <f aca="false">E29+F29+SUM(I29:Q29)</f>
        <v>265.5156</v>
      </c>
      <c r="S29" s="12" t="n">
        <f aca="false">S28+R29</f>
        <v>554.8114628</v>
      </c>
      <c r="T29" s="15" t="n">
        <f aca="false">IF(AND($A29&gt;$B$100,S29&gt;=0),1,0)</f>
        <v>1</v>
      </c>
      <c r="U29" s="12" t="n">
        <f aca="false">S29-SUM($E$5:E29)-(1+Premissas!$B$14)*SUM($C$5:C29)</f>
        <v>486.5134628</v>
      </c>
      <c r="V29" s="12" t="n">
        <f aca="false">C29/Premissas!$B$15*Premissas!$B$17+(G29+H29)*Premissas!$B$18</f>
        <v>0</v>
      </c>
      <c r="W29" s="15" t="n">
        <f aca="false">IF(V29&gt;0,DATE(YEAR(B29),MONTH(B29)+1,1)-Premissas!$B$11+1,0)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46332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IF(C30&gt;0,IF(DAY(B30)&lt;=Premissas!$B$12,DATE(YEAR(B30),MONTH(B30),Premissas!$B$13),DATE(YEAR(B30),MONTH(B30)+1,Premissas!$B$13))-Premissas!$B$11+1,0)</f>
        <v>0</v>
      </c>
      <c r="E30" s="12" t="n">
        <f aca="false">-SUMIF($D$5:$D$94,A30,$C$5:$C$94)*(1+Premissas!$B$14)</f>
        <v>-0</v>
      </c>
      <c r="F30" s="12" t="n">
        <f aca="false">-SUMIF($W$5:$W$94,A30,$V$5:$V$94)</f>
        <v>-0</v>
      </c>
      <c r="G30" s="29" t="n">
        <f aca="false">C30/Premissas!$B$15*Premissas!$B$16*Premissas!$B$20</f>
        <v>0</v>
      </c>
      <c r="H30" s="29" t="n">
        <f aca="false">C30/Premissas!$B$15*Premissas!$B$16*Premissas!$B$21</f>
        <v>0</v>
      </c>
      <c r="I30" s="12" t="n">
        <f aca="false">-G30*(Premissas!$B$54*Unitário!$B$22+Premissas!$B$55*Unitário!$B$23)</f>
        <v>-0</v>
      </c>
      <c r="J30" s="12" t="n">
        <f aca="false">IF($A30-(Premissas!$B$49)&gt;=1,INDEX($G$5:$G$94,$A30-(Premissas!$B$49)),0)*Premissas!$B$23*((Premissas!$B$54*Unitário!$B$22+Premissas!$B$55*Unitário!$B$23)-Premissas!$B$35)</f>
        <v>0</v>
      </c>
      <c r="K30" s="12" t="n">
        <f aca="false">IF($A30-(Premissas!$B$49+Premissas!$B$52)&gt;=1,INDEX($G$5:$G$94,$A30-(Premissas!$B$49+Premissas!$B$52)),0)*Premissas!$B$24*((Premissas!$B$54*Unitário!$B$22+Premissas!$B$55*Unitário!$B$23)-Premissas!$B$36)</f>
        <v>0</v>
      </c>
      <c r="L30" s="12" t="n">
        <f aca="false">IF($A30-(Premissas!$B$49+Premissas!$B$50)&gt;=1,INDEX($G$5:$G$94,$A30-(Premissas!$B$49+Premissas!$B$50)),0)*Unitário!$B$21*(Premissas!$B$46-(1-Premissas!$B$55)*Unitário!$B$23-(1-Premissas!$B$54)*Unitário!$B$22)</f>
        <v>265.5156</v>
      </c>
      <c r="M30" s="12" t="n">
        <f aca="false">IF($A30-(Premissas!$B$51)&gt;=1,INDEX($H$5:$H$94,$A30-(Premissas!$B$51)),0)*(Premissas!$B$47-Unitário!$B$25)</f>
        <v>0</v>
      </c>
      <c r="N30" s="12" t="n">
        <f aca="false">-H30*(Premissas!$B$54*Unitário!$B$22+Premissas!$B$28)</f>
        <v>-0</v>
      </c>
      <c r="O30" s="12" t="n">
        <f aca="false">IF($A30-(Premissas!$B$49+Premissas!$B$52)&gt;=1,INDEX($H$5:$H$94,$A30-(Premissas!$B$49+Premissas!$B$52)),0)*Premissas!$B$24*(-Premissas!$B$47-Premissas!$B$36+Premissas!$B$28+Premissas!$B$54*Unitário!$B$22)</f>
        <v>-0</v>
      </c>
      <c r="P30" s="12" t="n">
        <f aca="false">-Premissas!$B$37*(IF($A30-(Premissas!$B$49+Premissas!$B$50)&gt;=1,INDEX($G$5:$G$94,$A30-(Premissas!$B$49+Premissas!$B$50)),0)*Unitário!$B$21*Premissas!$B$46+IF($A30-(Premissas!$B$51)&gt;=1,INDEX($H$5:$H$94,$A30-(Premissas!$B$51)),0)*(1-Premissas!$B$24)*Premissas!$B$47)</f>
        <v>-0</v>
      </c>
      <c r="Q30" s="12" t="n">
        <f aca="false">IF(DAY(B30)=1,-(Premissas!$B$38+Premissas!$B$59*Premissas!$B$60),0)</f>
        <v>0</v>
      </c>
      <c r="R30" s="12" t="n">
        <f aca="false">E30+F30+SUM(I30:Q30)</f>
        <v>265.5156</v>
      </c>
      <c r="S30" s="12" t="n">
        <f aca="false">S29+R30</f>
        <v>820.3270628</v>
      </c>
      <c r="T30" s="15" t="n">
        <f aca="false">IF(AND($A30&gt;$B$100,S30&gt;=0),1,0)</f>
        <v>1</v>
      </c>
      <c r="U30" s="12" t="n">
        <f aca="false">S30-SUM($E$5:E30)-(1+Premissas!$B$14)*SUM($C$5:C30)</f>
        <v>752.0290628</v>
      </c>
      <c r="V30" s="12" t="n">
        <f aca="false">C30/Premissas!$B$15*Premissas!$B$17+(G30+H30)*Premissas!$B$18</f>
        <v>0</v>
      </c>
      <c r="W30" s="15" t="n">
        <f aca="false">IF(V30&gt;0,DATE(YEAR(B30),MONTH(B30)+1,1)-Premissas!$B$11+1,0)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46333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IF(C31&gt;0,IF(DAY(B31)&lt;=Premissas!$B$12,DATE(YEAR(B31),MONTH(B31),Premissas!$B$13),DATE(YEAR(B31),MONTH(B31)+1,Premissas!$B$13))-Premissas!$B$11+1,0)</f>
        <v>0</v>
      </c>
      <c r="E31" s="12" t="n">
        <f aca="false">-SUMIF($D$5:$D$94,A31,$C$5:$C$94)*(1+Premissas!$B$14)</f>
        <v>-0</v>
      </c>
      <c r="F31" s="12" t="n">
        <f aca="false">-SUMIF($W$5:$W$94,A31,$V$5:$V$94)</f>
        <v>-0</v>
      </c>
      <c r="G31" s="29" t="n">
        <f aca="false">C31/Premissas!$B$15*Premissas!$B$16*Premissas!$B$20</f>
        <v>0</v>
      </c>
      <c r="H31" s="29" t="n">
        <f aca="false">C31/Premissas!$B$15*Premissas!$B$16*Premissas!$B$21</f>
        <v>0</v>
      </c>
      <c r="I31" s="12" t="n">
        <f aca="false">-G31*(Premissas!$B$54*Unitário!$B$22+Premissas!$B$55*Unitário!$B$23)</f>
        <v>-0</v>
      </c>
      <c r="J31" s="12" t="n">
        <f aca="false">IF($A31-(Premissas!$B$49)&gt;=1,INDEX($G$5:$G$94,$A31-(Premissas!$B$49)),0)*Premissas!$B$23*((Premissas!$B$54*Unitário!$B$22+Premissas!$B$55*Unitário!$B$23)-Premissas!$B$35)</f>
        <v>0</v>
      </c>
      <c r="K31" s="12" t="n">
        <f aca="false">IF($A31-(Premissas!$B$49+Premissas!$B$52)&gt;=1,INDEX($G$5:$G$94,$A31-(Premissas!$B$49+Premissas!$B$52)),0)*Premissas!$B$24*((Premissas!$B$54*Unitário!$B$22+Premissas!$B$55*Unitário!$B$23)-Premissas!$B$36)</f>
        <v>0</v>
      </c>
      <c r="L31" s="12" t="n">
        <f aca="false">IF($A31-(Premissas!$B$49+Premissas!$B$50)&gt;=1,INDEX($G$5:$G$94,$A31-(Premissas!$B$49+Premissas!$B$50)),0)*Unitário!$B$21*(Premissas!$B$46-(1-Premissas!$B$55)*Unitário!$B$23-(1-Premissas!$B$54)*Unitário!$B$22)</f>
        <v>265.5156</v>
      </c>
      <c r="M31" s="12" t="n">
        <f aca="false">IF($A31-(Premissas!$B$51)&gt;=1,INDEX($H$5:$H$94,$A31-(Premissas!$B$51)),0)*(Premissas!$B$47-Unitário!$B$25)</f>
        <v>0</v>
      </c>
      <c r="N31" s="12" t="n">
        <f aca="false">-H31*(Premissas!$B$54*Unitário!$B$22+Premissas!$B$28)</f>
        <v>-0</v>
      </c>
      <c r="O31" s="12" t="n">
        <f aca="false">IF($A31-(Premissas!$B$49+Premissas!$B$52)&gt;=1,INDEX($H$5:$H$94,$A31-(Premissas!$B$49+Premissas!$B$52)),0)*Premissas!$B$24*(-Premissas!$B$47-Premissas!$B$36+Premissas!$B$28+Premissas!$B$54*Unitário!$B$22)</f>
        <v>-0</v>
      </c>
      <c r="P31" s="12" t="n">
        <f aca="false">-Premissas!$B$37*(IF($A31-(Premissas!$B$49+Premissas!$B$50)&gt;=1,INDEX($G$5:$G$94,$A31-(Premissas!$B$49+Premissas!$B$50)),0)*Unitário!$B$21*Premissas!$B$46+IF($A31-(Premissas!$B$51)&gt;=1,INDEX($H$5:$H$94,$A31-(Premissas!$B$51)),0)*(1-Premissas!$B$24)*Premissas!$B$47)</f>
        <v>-0</v>
      </c>
      <c r="Q31" s="12" t="n">
        <f aca="false">IF(DAY(B31)=1,-(Premissas!$B$38+Premissas!$B$59*Premissas!$B$60),0)</f>
        <v>0</v>
      </c>
      <c r="R31" s="12" t="n">
        <f aca="false">E31+F31+SUM(I31:Q31)</f>
        <v>265.5156</v>
      </c>
      <c r="S31" s="12" t="n">
        <f aca="false">S30+R31</f>
        <v>1085.8426628</v>
      </c>
      <c r="T31" s="15" t="n">
        <f aca="false">IF(AND($A31&gt;$B$100,S31&gt;=0),1,0)</f>
        <v>1</v>
      </c>
      <c r="U31" s="12" t="n">
        <f aca="false">S31-SUM($E$5:E31)-(1+Premissas!$B$14)*SUM($C$5:C31)</f>
        <v>1017.5446628</v>
      </c>
      <c r="V31" s="12" t="n">
        <f aca="false">C31/Premissas!$B$15*Premissas!$B$17+(G31+H31)*Premissas!$B$18</f>
        <v>0</v>
      </c>
      <c r="W31" s="15" t="n">
        <f aca="false">IF(V31&gt;0,DATE(YEAR(B31),MONTH(B31)+1,1)-Premissas!$B$11+1,0)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46334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IF(C32&gt;0,IF(DAY(B32)&lt;=Premissas!$B$12,DATE(YEAR(B32),MONTH(B32),Premissas!$B$13),DATE(YEAR(B32),MONTH(B32)+1,Premissas!$B$13))-Premissas!$B$11+1,0)</f>
        <v>0</v>
      </c>
      <c r="E32" s="12" t="n">
        <f aca="false">-SUMIF($D$5:$D$94,A32,$C$5:$C$94)*(1+Premissas!$B$14)</f>
        <v>-0</v>
      </c>
      <c r="F32" s="12" t="n">
        <f aca="false">-SUMIF($W$5:$W$94,A32,$V$5:$V$94)</f>
        <v>-0</v>
      </c>
      <c r="G32" s="29" t="n">
        <f aca="false">C32/Premissas!$B$15*Premissas!$B$16*Premissas!$B$20</f>
        <v>0</v>
      </c>
      <c r="H32" s="29" t="n">
        <f aca="false">C32/Premissas!$B$15*Premissas!$B$16*Premissas!$B$21</f>
        <v>0</v>
      </c>
      <c r="I32" s="12" t="n">
        <f aca="false">-G32*(Premissas!$B$54*Unitário!$B$22+Premissas!$B$55*Unitário!$B$23)</f>
        <v>-0</v>
      </c>
      <c r="J32" s="12" t="n">
        <f aca="false">IF($A32-(Premissas!$B$49)&gt;=1,INDEX($G$5:$G$94,$A32-(Premissas!$B$49)),0)*Premissas!$B$23*((Premissas!$B$54*Unitário!$B$22+Premissas!$B$55*Unitário!$B$23)-Premissas!$B$35)</f>
        <v>0</v>
      </c>
      <c r="K32" s="12" t="n">
        <f aca="false">IF($A32-(Premissas!$B$49+Premissas!$B$52)&gt;=1,INDEX($G$5:$G$94,$A32-(Premissas!$B$49+Premissas!$B$52)),0)*Premissas!$B$24*((Premissas!$B$54*Unitário!$B$22+Premissas!$B$55*Unitário!$B$23)-Premissas!$B$36)</f>
        <v>0</v>
      </c>
      <c r="L32" s="12" t="n">
        <f aca="false">IF($A32-(Premissas!$B$49+Premissas!$B$50)&gt;=1,INDEX($G$5:$G$94,$A32-(Premissas!$B$49+Premissas!$B$50)),0)*Unitário!$B$21*(Premissas!$B$46-(1-Premissas!$B$55)*Unitário!$B$23-(1-Premissas!$B$54)*Unitário!$B$22)</f>
        <v>265.5156</v>
      </c>
      <c r="M32" s="12" t="n">
        <f aca="false">IF($A32-(Premissas!$B$51)&gt;=1,INDEX($H$5:$H$94,$A32-(Premissas!$B$51)),0)*(Premissas!$B$47-Unitário!$B$25)</f>
        <v>0</v>
      </c>
      <c r="N32" s="12" t="n">
        <f aca="false">-H32*(Premissas!$B$54*Unitário!$B$22+Premissas!$B$28)</f>
        <v>-0</v>
      </c>
      <c r="O32" s="12" t="n">
        <f aca="false">IF($A32-(Premissas!$B$49+Premissas!$B$52)&gt;=1,INDEX($H$5:$H$94,$A32-(Premissas!$B$49+Premissas!$B$52)),0)*Premissas!$B$24*(-Premissas!$B$47-Premissas!$B$36+Premissas!$B$28+Premissas!$B$54*Unitário!$B$22)</f>
        <v>-0</v>
      </c>
      <c r="P32" s="12" t="n">
        <f aca="false">-Premissas!$B$37*(IF($A32-(Premissas!$B$49+Premissas!$B$50)&gt;=1,INDEX($G$5:$G$94,$A32-(Premissas!$B$49+Premissas!$B$50)),0)*Unitário!$B$21*Premissas!$B$46+IF($A32-(Premissas!$B$51)&gt;=1,INDEX($H$5:$H$94,$A32-(Premissas!$B$51)),0)*(1-Premissas!$B$24)*Premissas!$B$47)</f>
        <v>-0</v>
      </c>
      <c r="Q32" s="12" t="n">
        <f aca="false">IF(DAY(B32)=1,-(Premissas!$B$38+Premissas!$B$59*Premissas!$B$60),0)</f>
        <v>0</v>
      </c>
      <c r="R32" s="12" t="n">
        <f aca="false">E32+F32+SUM(I32:Q32)</f>
        <v>265.5156</v>
      </c>
      <c r="S32" s="12" t="n">
        <f aca="false">S31+R32</f>
        <v>1351.3582628</v>
      </c>
      <c r="T32" s="15" t="n">
        <f aca="false">IF(AND($A32&gt;$B$100,S32&gt;=0),1,0)</f>
        <v>1</v>
      </c>
      <c r="U32" s="12" t="n">
        <f aca="false">S32-SUM($E$5:E32)-(1+Premissas!$B$14)*SUM($C$5:C32)</f>
        <v>1283.0602628</v>
      </c>
      <c r="V32" s="12" t="n">
        <f aca="false">C32/Premissas!$B$15*Premissas!$B$17+(G32+H32)*Premissas!$B$18</f>
        <v>0</v>
      </c>
      <c r="W32" s="15" t="n">
        <f aca="false">IF(V32&gt;0,DATE(YEAR(B32),MONTH(B32)+1,1)-Premissas!$B$11+1,0)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46335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IF(C33&gt;0,IF(DAY(B33)&lt;=Premissas!$B$12,DATE(YEAR(B33),MONTH(B33),Premissas!$B$13),DATE(YEAR(B33),MONTH(B33)+1,Premissas!$B$13))-Premissas!$B$11+1,0)</f>
        <v>0</v>
      </c>
      <c r="E33" s="12" t="n">
        <f aca="false">-SUMIF($D$5:$D$94,A33,$C$5:$C$94)*(1+Premissas!$B$14)</f>
        <v>-0</v>
      </c>
      <c r="F33" s="12" t="n">
        <f aca="false">-SUMIF($W$5:$W$94,A33,$V$5:$V$94)</f>
        <v>-0</v>
      </c>
      <c r="G33" s="29" t="n">
        <f aca="false">C33/Premissas!$B$15*Premissas!$B$16*Premissas!$B$20</f>
        <v>0</v>
      </c>
      <c r="H33" s="29" t="n">
        <f aca="false">C33/Premissas!$B$15*Premissas!$B$16*Premissas!$B$21</f>
        <v>0</v>
      </c>
      <c r="I33" s="12" t="n">
        <f aca="false">-G33*(Premissas!$B$54*Unitário!$B$22+Premissas!$B$55*Unitário!$B$23)</f>
        <v>-0</v>
      </c>
      <c r="J33" s="12" t="n">
        <f aca="false">IF($A33-(Premissas!$B$49)&gt;=1,INDEX($G$5:$G$94,$A33-(Premissas!$B$49)),0)*Premissas!$B$23*((Premissas!$B$54*Unitário!$B$22+Premissas!$B$55*Unitário!$B$23)-Premissas!$B$35)</f>
        <v>0</v>
      </c>
      <c r="K33" s="12" t="n">
        <f aca="false">IF($A33-(Premissas!$B$49+Premissas!$B$52)&gt;=1,INDEX($G$5:$G$94,$A33-(Premissas!$B$49+Premissas!$B$52)),0)*Premissas!$B$24*((Premissas!$B$54*Unitário!$B$22+Premissas!$B$55*Unitário!$B$23)-Premissas!$B$36)</f>
        <v>0</v>
      </c>
      <c r="L33" s="12" t="n">
        <f aca="false">IF($A33-(Premissas!$B$49+Premissas!$B$50)&gt;=1,INDEX($G$5:$G$94,$A33-(Premissas!$B$49+Premissas!$B$50)),0)*Unitário!$B$21*(Premissas!$B$46-(1-Premissas!$B$55)*Unitário!$B$23-(1-Premissas!$B$54)*Unitário!$B$22)</f>
        <v>0</v>
      </c>
      <c r="M33" s="12" t="n">
        <f aca="false">IF($A33-(Premissas!$B$51)&gt;=1,INDEX($H$5:$H$94,$A33-(Premissas!$B$51)),0)*(Premissas!$B$47-Unitário!$B$25)</f>
        <v>0</v>
      </c>
      <c r="N33" s="12" t="n">
        <f aca="false">-H33*(Premissas!$B$54*Unitário!$B$22+Premissas!$B$28)</f>
        <v>-0</v>
      </c>
      <c r="O33" s="12" t="n">
        <f aca="false">IF($A33-(Premissas!$B$49+Premissas!$B$52)&gt;=1,INDEX($H$5:$H$94,$A33-(Premissas!$B$49+Premissas!$B$52)),0)*Premissas!$B$24*(-Premissas!$B$47-Premissas!$B$36+Premissas!$B$28+Premissas!$B$54*Unitário!$B$22)</f>
        <v>-0</v>
      </c>
      <c r="P33" s="12" t="n">
        <f aca="false">-Premissas!$B$37*(IF($A33-(Premissas!$B$49+Premissas!$B$50)&gt;=1,INDEX($G$5:$G$94,$A33-(Premissas!$B$49+Premissas!$B$50)),0)*Unitário!$B$21*Premissas!$B$46+IF($A33-(Premissas!$B$51)&gt;=1,INDEX($H$5:$H$94,$A33-(Premissas!$B$51)),0)*(1-Premissas!$B$24)*Premissas!$B$47)</f>
        <v>-0</v>
      </c>
      <c r="Q33" s="12" t="n">
        <f aca="false">IF(DAY(B33)=1,-(Premissas!$B$38+Premissas!$B$59*Premissas!$B$60),0)</f>
        <v>0</v>
      </c>
      <c r="R33" s="12" t="n">
        <f aca="false">E33+F33+SUM(I33:Q33)</f>
        <v>0</v>
      </c>
      <c r="S33" s="12" t="n">
        <f aca="false">S32+R33</f>
        <v>1351.3582628</v>
      </c>
      <c r="T33" s="15" t="n">
        <f aca="false">IF(AND($A33&gt;$B$100,S33&gt;=0),1,0)</f>
        <v>1</v>
      </c>
      <c r="U33" s="12" t="n">
        <f aca="false">S33-SUM($E$5:E33)-(1+Premissas!$B$14)*SUM($C$5:C33)</f>
        <v>1283.0602628</v>
      </c>
      <c r="V33" s="12" t="n">
        <f aca="false">C33/Premissas!$B$15*Premissas!$B$17+(G33+H33)*Premissas!$B$18</f>
        <v>0</v>
      </c>
      <c r="W33" s="15" t="n">
        <f aca="false">IF(V33&gt;0,DATE(YEAR(B33),MONTH(B33)+1,1)-Premissas!$B$11+1,0)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46336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IF(C34&gt;0,IF(DAY(B34)&lt;=Premissas!$B$12,DATE(YEAR(B34),MONTH(B34),Premissas!$B$13),DATE(YEAR(B34),MONTH(B34)+1,Premissas!$B$13))-Premissas!$B$11+1,0)</f>
        <v>0</v>
      </c>
      <c r="E34" s="12" t="n">
        <f aca="false">-SUMIF($D$5:$D$94,A34,$C$5:$C$94)*(1+Premissas!$B$14)</f>
        <v>-0</v>
      </c>
      <c r="F34" s="12" t="n">
        <f aca="false">-SUMIF($W$5:$W$94,A34,$V$5:$V$94)</f>
        <v>-0</v>
      </c>
      <c r="G34" s="29" t="n">
        <f aca="false">C34/Premissas!$B$15*Premissas!$B$16*Premissas!$B$20</f>
        <v>0</v>
      </c>
      <c r="H34" s="29" t="n">
        <f aca="false">C34/Premissas!$B$15*Premissas!$B$16*Premissas!$B$21</f>
        <v>0</v>
      </c>
      <c r="I34" s="12" t="n">
        <f aca="false">-G34*(Premissas!$B$54*Unitário!$B$22+Premissas!$B$55*Unitário!$B$23)</f>
        <v>-0</v>
      </c>
      <c r="J34" s="12" t="n">
        <f aca="false">IF($A34-(Premissas!$B$49)&gt;=1,INDEX($G$5:$G$94,$A34-(Premissas!$B$49)),0)*Premissas!$B$23*((Premissas!$B$54*Unitário!$B$22+Premissas!$B$55*Unitário!$B$23)-Premissas!$B$35)</f>
        <v>0</v>
      </c>
      <c r="K34" s="12" t="n">
        <f aca="false">IF($A34-(Premissas!$B$49+Premissas!$B$52)&gt;=1,INDEX($G$5:$G$94,$A34-(Premissas!$B$49+Premissas!$B$52)),0)*Premissas!$B$24*((Premissas!$B$54*Unitário!$B$22+Premissas!$B$55*Unitário!$B$23)-Premissas!$B$36)</f>
        <v>0</v>
      </c>
      <c r="L34" s="12" t="n">
        <f aca="false">IF($A34-(Premissas!$B$49+Premissas!$B$50)&gt;=1,INDEX($G$5:$G$94,$A34-(Premissas!$B$49+Premissas!$B$50)),0)*Unitário!$B$21*(Premissas!$B$46-(1-Premissas!$B$55)*Unitário!$B$23-(1-Premissas!$B$54)*Unitário!$B$22)</f>
        <v>0</v>
      </c>
      <c r="M34" s="12" t="n">
        <f aca="false">IF($A34-(Premissas!$B$51)&gt;=1,INDEX($H$5:$H$94,$A34-(Premissas!$B$51)),0)*(Premissas!$B$47-Unitário!$B$25)</f>
        <v>0</v>
      </c>
      <c r="N34" s="12" t="n">
        <f aca="false">-H34*(Premissas!$B$54*Unitário!$B$22+Premissas!$B$28)</f>
        <v>-0</v>
      </c>
      <c r="O34" s="12" t="n">
        <f aca="false">IF($A34-(Premissas!$B$49+Premissas!$B$52)&gt;=1,INDEX($H$5:$H$94,$A34-(Premissas!$B$49+Premissas!$B$52)),0)*Premissas!$B$24*(-Premissas!$B$47-Premissas!$B$36+Premissas!$B$28+Premissas!$B$54*Unitário!$B$22)</f>
        <v>-0</v>
      </c>
      <c r="P34" s="12" t="n">
        <f aca="false">-Premissas!$B$37*(IF($A34-(Premissas!$B$49+Premissas!$B$50)&gt;=1,INDEX($G$5:$G$94,$A34-(Premissas!$B$49+Premissas!$B$50)),0)*Unitário!$B$21*Premissas!$B$46+IF($A34-(Premissas!$B$51)&gt;=1,INDEX($H$5:$H$94,$A34-(Premissas!$B$51)),0)*(1-Premissas!$B$24)*Premissas!$B$47)</f>
        <v>-0</v>
      </c>
      <c r="Q34" s="12" t="n">
        <f aca="false">IF(DAY(B34)=1,-(Premissas!$B$38+Premissas!$B$59*Premissas!$B$60),0)</f>
        <v>0</v>
      </c>
      <c r="R34" s="12" t="n">
        <f aca="false">E34+F34+SUM(I34:Q34)</f>
        <v>0</v>
      </c>
      <c r="S34" s="12" t="n">
        <f aca="false">S33+R34</f>
        <v>1351.3582628</v>
      </c>
      <c r="T34" s="15" t="n">
        <f aca="false">IF(AND($A34&gt;$B$100,S34&gt;=0),1,0)</f>
        <v>1</v>
      </c>
      <c r="U34" s="12" t="n">
        <f aca="false">S34-SUM($E$5:E34)-(1+Premissas!$B$14)*SUM($C$5:C34)</f>
        <v>1283.0602628</v>
      </c>
      <c r="V34" s="12" t="n">
        <f aca="false">C34/Premissas!$B$15*Premissas!$B$17+(G34+H34)*Premissas!$B$18</f>
        <v>0</v>
      </c>
      <c r="W34" s="15" t="n">
        <f aca="false">IF(V34&gt;0,DATE(YEAR(B34),MONTH(B34)+1,1)-Premissas!$B$11+1,0)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46337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IF(C35&gt;0,IF(DAY(B35)&lt;=Premissas!$B$12,DATE(YEAR(B35),MONTH(B35),Premissas!$B$13),DATE(YEAR(B35),MONTH(B35)+1,Premissas!$B$13))-Premissas!$B$11+1,0)</f>
        <v>0</v>
      </c>
      <c r="E35" s="12" t="n">
        <f aca="false">-SUMIF($D$5:$D$94,A35,$C$5:$C$94)*(1+Premissas!$B$14)</f>
        <v>-0</v>
      </c>
      <c r="F35" s="12" t="n">
        <f aca="false">-SUMIF($W$5:$W$94,A35,$V$5:$V$94)</f>
        <v>-0</v>
      </c>
      <c r="G35" s="29" t="n">
        <f aca="false">C35/Premissas!$B$15*Premissas!$B$16*Premissas!$B$20</f>
        <v>0</v>
      </c>
      <c r="H35" s="29" t="n">
        <f aca="false">C35/Premissas!$B$15*Premissas!$B$16*Premissas!$B$21</f>
        <v>0</v>
      </c>
      <c r="I35" s="12" t="n">
        <f aca="false">-G35*(Premissas!$B$54*Unitário!$B$22+Premissas!$B$55*Unitário!$B$23)</f>
        <v>-0</v>
      </c>
      <c r="J35" s="12" t="n">
        <f aca="false">IF($A35-(Premissas!$B$49)&gt;=1,INDEX($G$5:$G$94,$A35-(Premissas!$B$49)),0)*Premissas!$B$23*((Premissas!$B$54*Unitário!$B$22+Premissas!$B$55*Unitário!$B$23)-Premissas!$B$35)</f>
        <v>0</v>
      </c>
      <c r="K35" s="12" t="n">
        <f aca="false">IF($A35-(Premissas!$B$49+Premissas!$B$52)&gt;=1,INDEX($G$5:$G$94,$A35-(Premissas!$B$49+Premissas!$B$52)),0)*Premissas!$B$24*((Premissas!$B$54*Unitário!$B$22+Premissas!$B$55*Unitário!$B$23)-Premissas!$B$36)</f>
        <v>0</v>
      </c>
      <c r="L35" s="12" t="n">
        <f aca="false">IF($A35-(Premissas!$B$49+Premissas!$B$50)&gt;=1,INDEX($G$5:$G$94,$A35-(Premissas!$B$49+Premissas!$B$50)),0)*Unitário!$B$21*(Premissas!$B$46-(1-Premissas!$B$55)*Unitário!$B$23-(1-Premissas!$B$54)*Unitário!$B$22)</f>
        <v>0</v>
      </c>
      <c r="M35" s="12" t="n">
        <f aca="false">IF($A35-(Premissas!$B$51)&gt;=1,INDEX($H$5:$H$94,$A35-(Premissas!$B$51)),0)*(Premissas!$B$47-Unitário!$B$25)</f>
        <v>0</v>
      </c>
      <c r="N35" s="12" t="n">
        <f aca="false">-H35*(Premissas!$B$54*Unitário!$B$22+Premissas!$B$28)</f>
        <v>-0</v>
      </c>
      <c r="O35" s="12" t="n">
        <f aca="false">IF($A35-(Premissas!$B$49+Premissas!$B$52)&gt;=1,INDEX($H$5:$H$94,$A35-(Premissas!$B$49+Premissas!$B$52)),0)*Premissas!$B$24*(-Premissas!$B$47-Premissas!$B$36+Premissas!$B$28+Premissas!$B$54*Unitário!$B$22)</f>
        <v>-0</v>
      </c>
      <c r="P35" s="12" t="n">
        <f aca="false">-Premissas!$B$37*(IF($A35-(Premissas!$B$49+Premissas!$B$50)&gt;=1,INDEX($G$5:$G$94,$A35-(Premissas!$B$49+Premissas!$B$50)),0)*Unitário!$B$21*Premissas!$B$46+IF($A35-(Premissas!$B$51)&gt;=1,INDEX($H$5:$H$94,$A35-(Premissas!$B$51)),0)*(1-Premissas!$B$24)*Premissas!$B$47)</f>
        <v>-0</v>
      </c>
      <c r="Q35" s="12" t="n">
        <f aca="false">IF(DAY(B35)=1,-(Premissas!$B$38+Premissas!$B$59*Premissas!$B$60),0)</f>
        <v>0</v>
      </c>
      <c r="R35" s="12" t="n">
        <f aca="false">E35+F35+SUM(I35:Q35)</f>
        <v>0</v>
      </c>
      <c r="S35" s="12" t="n">
        <f aca="false">S34+R35</f>
        <v>1351.3582628</v>
      </c>
      <c r="T35" s="15" t="n">
        <f aca="false">IF(AND($A35&gt;$B$100,S35&gt;=0),1,0)</f>
        <v>1</v>
      </c>
      <c r="U35" s="12" t="n">
        <f aca="false">S35-SUM($E$5:E35)-(1+Premissas!$B$14)*SUM($C$5:C35)</f>
        <v>1283.0602628</v>
      </c>
      <c r="V35" s="12" t="n">
        <f aca="false">C35/Premissas!$B$15*Premissas!$B$17+(G35+H35)*Premissas!$B$18</f>
        <v>0</v>
      </c>
      <c r="W35" s="15" t="n">
        <f aca="false">IF(V35&gt;0,DATE(YEAR(B35),MONTH(B35)+1,1)-Premissas!$B$11+1,0)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46338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IF(C36&gt;0,IF(DAY(B36)&lt;=Premissas!$B$12,DATE(YEAR(B36),MONTH(B36),Premissas!$B$13),DATE(YEAR(B36),MONTH(B36)+1,Premissas!$B$13))-Premissas!$B$11+1,0)</f>
        <v>0</v>
      </c>
      <c r="E36" s="12" t="n">
        <f aca="false">-SUMIF($D$5:$D$94,A36,$C$5:$C$94)*(1+Premissas!$B$14)</f>
        <v>-0</v>
      </c>
      <c r="F36" s="12" t="n">
        <f aca="false">-SUMIF($W$5:$W$94,A36,$V$5:$V$94)</f>
        <v>-0</v>
      </c>
      <c r="G36" s="29" t="n">
        <f aca="false">C36/Premissas!$B$15*Premissas!$B$16*Premissas!$B$20</f>
        <v>0</v>
      </c>
      <c r="H36" s="29" t="n">
        <f aca="false">C36/Premissas!$B$15*Premissas!$B$16*Premissas!$B$21</f>
        <v>0</v>
      </c>
      <c r="I36" s="12" t="n">
        <f aca="false">-G36*(Premissas!$B$54*Unitário!$B$22+Premissas!$B$55*Unitário!$B$23)</f>
        <v>-0</v>
      </c>
      <c r="J36" s="12" t="n">
        <f aca="false">IF($A36-(Premissas!$B$49)&gt;=1,INDEX($G$5:$G$94,$A36-(Premissas!$B$49)),0)*Premissas!$B$23*((Premissas!$B$54*Unitário!$B$22+Premissas!$B$55*Unitário!$B$23)-Premissas!$B$35)</f>
        <v>0</v>
      </c>
      <c r="K36" s="12" t="n">
        <f aca="false">IF($A36-(Premissas!$B$49+Premissas!$B$52)&gt;=1,INDEX($G$5:$G$94,$A36-(Premissas!$B$49+Premissas!$B$52)),0)*Premissas!$B$24*((Premissas!$B$54*Unitário!$B$22+Premissas!$B$55*Unitário!$B$23)-Premissas!$B$36)</f>
        <v>0</v>
      </c>
      <c r="L36" s="12" t="n">
        <f aca="false">IF($A36-(Premissas!$B$49+Premissas!$B$50)&gt;=1,INDEX($G$5:$G$94,$A36-(Premissas!$B$49+Premissas!$B$50)),0)*Unitário!$B$21*(Premissas!$B$46-(1-Premissas!$B$55)*Unitário!$B$23-(1-Premissas!$B$54)*Unitário!$B$22)</f>
        <v>0</v>
      </c>
      <c r="M36" s="12" t="n">
        <f aca="false">IF($A36-(Premissas!$B$51)&gt;=1,INDEX($H$5:$H$94,$A36-(Premissas!$B$51)),0)*(Premissas!$B$47-Unitário!$B$25)</f>
        <v>0</v>
      </c>
      <c r="N36" s="12" t="n">
        <f aca="false">-H36*(Premissas!$B$54*Unitário!$B$22+Premissas!$B$28)</f>
        <v>-0</v>
      </c>
      <c r="O36" s="12" t="n">
        <f aca="false">IF($A36-(Premissas!$B$49+Premissas!$B$52)&gt;=1,INDEX($H$5:$H$94,$A36-(Premissas!$B$49+Premissas!$B$52)),0)*Premissas!$B$24*(-Premissas!$B$47-Premissas!$B$36+Premissas!$B$28+Premissas!$B$54*Unitário!$B$22)</f>
        <v>-0</v>
      </c>
      <c r="P36" s="12" t="n">
        <f aca="false">-Premissas!$B$37*(IF($A36-(Premissas!$B$49+Premissas!$B$50)&gt;=1,INDEX($G$5:$G$94,$A36-(Premissas!$B$49+Premissas!$B$50)),0)*Unitário!$B$21*Premissas!$B$46+IF($A36-(Premissas!$B$51)&gt;=1,INDEX($H$5:$H$94,$A36-(Premissas!$B$51)),0)*(1-Premissas!$B$24)*Premissas!$B$47)</f>
        <v>-0</v>
      </c>
      <c r="Q36" s="12" t="n">
        <f aca="false">IF(DAY(B36)=1,-(Premissas!$B$38+Premissas!$B$59*Premissas!$B$60),0)</f>
        <v>0</v>
      </c>
      <c r="R36" s="12" t="n">
        <f aca="false">E36+F36+SUM(I36:Q36)</f>
        <v>0</v>
      </c>
      <c r="S36" s="12" t="n">
        <f aca="false">S35+R36</f>
        <v>1351.3582628</v>
      </c>
      <c r="T36" s="15" t="n">
        <f aca="false">IF(AND($A36&gt;$B$100,S36&gt;=0),1,0)</f>
        <v>1</v>
      </c>
      <c r="U36" s="12" t="n">
        <f aca="false">S36-SUM($E$5:E36)-(1+Premissas!$B$14)*SUM($C$5:C36)</f>
        <v>1283.0602628</v>
      </c>
      <c r="V36" s="12" t="n">
        <f aca="false">C36/Premissas!$B$15*Premissas!$B$17+(G36+H36)*Premissas!$B$18</f>
        <v>0</v>
      </c>
      <c r="W36" s="15" t="n">
        <f aca="false">IF(V36&gt;0,DATE(YEAR(B36),MONTH(B36)+1,1)-Premissas!$B$11+1,0)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46339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IF(C37&gt;0,IF(DAY(B37)&lt;=Premissas!$B$12,DATE(YEAR(B37),MONTH(B37),Premissas!$B$13),DATE(YEAR(B37),MONTH(B37)+1,Premissas!$B$13))-Premissas!$B$11+1,0)</f>
        <v>0</v>
      </c>
      <c r="E37" s="12" t="n">
        <f aca="false">-SUMIF($D$5:$D$94,A37,$C$5:$C$94)*(1+Premissas!$B$14)</f>
        <v>-0</v>
      </c>
      <c r="F37" s="12" t="n">
        <f aca="false">-SUMIF($W$5:$W$94,A37,$V$5:$V$94)</f>
        <v>-0</v>
      </c>
      <c r="G37" s="29" t="n">
        <f aca="false">C37/Premissas!$B$15*Premissas!$B$16*Premissas!$B$20</f>
        <v>0</v>
      </c>
      <c r="H37" s="29" t="n">
        <f aca="false">C37/Premissas!$B$15*Premissas!$B$16*Premissas!$B$21</f>
        <v>0</v>
      </c>
      <c r="I37" s="12" t="n">
        <f aca="false">-G37*(Premissas!$B$54*Unitário!$B$22+Premissas!$B$55*Unitário!$B$23)</f>
        <v>-0</v>
      </c>
      <c r="J37" s="12" t="n">
        <f aca="false">IF($A37-(Premissas!$B$49)&gt;=1,INDEX($G$5:$G$94,$A37-(Premissas!$B$49)),0)*Premissas!$B$23*((Premissas!$B$54*Unitário!$B$22+Premissas!$B$55*Unitário!$B$23)-Premissas!$B$35)</f>
        <v>0</v>
      </c>
      <c r="K37" s="12" t="n">
        <f aca="false">IF($A37-(Premissas!$B$49+Premissas!$B$52)&gt;=1,INDEX($G$5:$G$94,$A37-(Premissas!$B$49+Premissas!$B$52)),0)*Premissas!$B$24*((Premissas!$B$54*Unitário!$B$22+Premissas!$B$55*Unitário!$B$23)-Premissas!$B$36)</f>
        <v>0</v>
      </c>
      <c r="L37" s="12" t="n">
        <f aca="false">IF($A37-(Premissas!$B$49+Premissas!$B$50)&gt;=1,INDEX($G$5:$G$94,$A37-(Premissas!$B$49+Premissas!$B$50)),0)*Unitário!$B$21*(Premissas!$B$46-(1-Premissas!$B$55)*Unitário!$B$23-(1-Premissas!$B$54)*Unitário!$B$22)</f>
        <v>0</v>
      </c>
      <c r="M37" s="12" t="n">
        <f aca="false">IF($A37-(Premissas!$B$51)&gt;=1,INDEX($H$5:$H$94,$A37-(Premissas!$B$51)),0)*(Premissas!$B$47-Unitário!$B$25)</f>
        <v>0</v>
      </c>
      <c r="N37" s="12" t="n">
        <f aca="false">-H37*(Premissas!$B$54*Unitário!$B$22+Premissas!$B$28)</f>
        <v>-0</v>
      </c>
      <c r="O37" s="12" t="n">
        <f aca="false">IF($A37-(Premissas!$B$49+Premissas!$B$52)&gt;=1,INDEX($H$5:$H$94,$A37-(Premissas!$B$49+Premissas!$B$52)),0)*Premissas!$B$24*(-Premissas!$B$47-Premissas!$B$36+Premissas!$B$28+Premissas!$B$54*Unitário!$B$22)</f>
        <v>-0</v>
      </c>
      <c r="P37" s="12" t="n">
        <f aca="false">-Premissas!$B$37*(IF($A37-(Premissas!$B$49+Premissas!$B$50)&gt;=1,INDEX($G$5:$G$94,$A37-(Premissas!$B$49+Premissas!$B$50)),0)*Unitário!$B$21*Premissas!$B$46+IF($A37-(Premissas!$B$51)&gt;=1,INDEX($H$5:$H$94,$A37-(Premissas!$B$51)),0)*(1-Premissas!$B$24)*Premissas!$B$47)</f>
        <v>-0</v>
      </c>
      <c r="Q37" s="12" t="n">
        <f aca="false">IF(DAY(B37)=1,-(Premissas!$B$38+Premissas!$B$59*Premissas!$B$60),0)</f>
        <v>0</v>
      </c>
      <c r="R37" s="12" t="n">
        <f aca="false">E37+F37+SUM(I37:Q37)</f>
        <v>0</v>
      </c>
      <c r="S37" s="12" t="n">
        <f aca="false">S36+R37</f>
        <v>1351.3582628</v>
      </c>
      <c r="T37" s="15" t="n">
        <f aca="false">IF(AND($A37&gt;$B$100,S37&gt;=0),1,0)</f>
        <v>1</v>
      </c>
      <c r="U37" s="12" t="n">
        <f aca="false">S37-SUM($E$5:E37)-(1+Premissas!$B$14)*SUM($C$5:C37)</f>
        <v>1283.0602628</v>
      </c>
      <c r="V37" s="12" t="n">
        <f aca="false">C37/Premissas!$B$15*Premissas!$B$17+(G37+H37)*Premissas!$B$18</f>
        <v>0</v>
      </c>
      <c r="W37" s="15" t="n">
        <f aca="false">IF(V37&gt;0,DATE(YEAR(B37),MONTH(B37)+1,1)-Premissas!$B$11+1,0)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46340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IF(C38&gt;0,IF(DAY(B38)&lt;=Premissas!$B$12,DATE(YEAR(B38),MONTH(B38),Premissas!$B$13),DATE(YEAR(B38),MONTH(B38)+1,Premissas!$B$13))-Premissas!$B$11+1,0)</f>
        <v>0</v>
      </c>
      <c r="E38" s="12" t="n">
        <f aca="false">-SUMIF($D$5:$D$94,A38,$C$5:$C$94)*(1+Premissas!$B$14)</f>
        <v>-0</v>
      </c>
      <c r="F38" s="12" t="n">
        <f aca="false">-SUMIF($W$5:$W$94,A38,$V$5:$V$94)</f>
        <v>-0</v>
      </c>
      <c r="G38" s="29" t="n">
        <f aca="false">C38/Premissas!$B$15*Premissas!$B$16*Premissas!$B$20</f>
        <v>0</v>
      </c>
      <c r="H38" s="29" t="n">
        <f aca="false">C38/Premissas!$B$15*Premissas!$B$16*Premissas!$B$21</f>
        <v>0</v>
      </c>
      <c r="I38" s="12" t="n">
        <f aca="false">-G38*(Premissas!$B$54*Unitário!$B$22+Premissas!$B$55*Unitário!$B$23)</f>
        <v>-0</v>
      </c>
      <c r="J38" s="12" t="n">
        <f aca="false">IF($A38-(Premissas!$B$49)&gt;=1,INDEX($G$5:$G$94,$A38-(Premissas!$B$49)),0)*Premissas!$B$23*((Premissas!$B$54*Unitário!$B$22+Premissas!$B$55*Unitário!$B$23)-Premissas!$B$35)</f>
        <v>0</v>
      </c>
      <c r="K38" s="12" t="n">
        <f aca="false">IF($A38-(Premissas!$B$49+Premissas!$B$52)&gt;=1,INDEX($G$5:$G$94,$A38-(Premissas!$B$49+Premissas!$B$52)),0)*Premissas!$B$24*((Premissas!$B$54*Unitário!$B$22+Premissas!$B$55*Unitário!$B$23)-Premissas!$B$36)</f>
        <v>0</v>
      </c>
      <c r="L38" s="12" t="n">
        <f aca="false">IF($A38-(Premissas!$B$49+Premissas!$B$50)&gt;=1,INDEX($G$5:$G$94,$A38-(Premissas!$B$49+Premissas!$B$50)),0)*Unitário!$B$21*(Premissas!$B$46-(1-Premissas!$B$55)*Unitário!$B$23-(1-Premissas!$B$54)*Unitário!$B$22)</f>
        <v>0</v>
      </c>
      <c r="M38" s="12" t="n">
        <f aca="false">IF($A38-(Premissas!$B$51)&gt;=1,INDEX($H$5:$H$94,$A38-(Premissas!$B$51)),0)*(Premissas!$B$47-Unitário!$B$25)</f>
        <v>0</v>
      </c>
      <c r="N38" s="12" t="n">
        <f aca="false">-H38*(Premissas!$B$54*Unitário!$B$22+Premissas!$B$28)</f>
        <v>-0</v>
      </c>
      <c r="O38" s="12" t="n">
        <f aca="false">IF($A38-(Premissas!$B$49+Premissas!$B$52)&gt;=1,INDEX($H$5:$H$94,$A38-(Premissas!$B$49+Premissas!$B$52)),0)*Premissas!$B$24*(-Premissas!$B$47-Premissas!$B$36+Premissas!$B$28+Premissas!$B$54*Unitário!$B$22)</f>
        <v>-0</v>
      </c>
      <c r="P38" s="12" t="n">
        <f aca="false">-Premissas!$B$37*(IF($A38-(Premissas!$B$49+Premissas!$B$50)&gt;=1,INDEX($G$5:$G$94,$A38-(Premissas!$B$49+Premissas!$B$50)),0)*Unitário!$B$21*Premissas!$B$46+IF($A38-(Premissas!$B$51)&gt;=1,INDEX($H$5:$H$94,$A38-(Premissas!$B$51)),0)*(1-Premissas!$B$24)*Premissas!$B$47)</f>
        <v>-0</v>
      </c>
      <c r="Q38" s="12" t="n">
        <f aca="false">IF(DAY(B38)=1,-(Premissas!$B$38+Premissas!$B$59*Premissas!$B$60),0)</f>
        <v>0</v>
      </c>
      <c r="R38" s="12" t="n">
        <f aca="false">E38+F38+SUM(I38:Q38)</f>
        <v>0</v>
      </c>
      <c r="S38" s="12" t="n">
        <f aca="false">S37+R38</f>
        <v>1351.3582628</v>
      </c>
      <c r="T38" s="15" t="n">
        <f aca="false">IF(AND($A38&gt;$B$100,S38&gt;=0),1,0)</f>
        <v>1</v>
      </c>
      <c r="U38" s="12" t="n">
        <f aca="false">S38-SUM($E$5:E38)-(1+Premissas!$B$14)*SUM($C$5:C38)</f>
        <v>1283.0602628</v>
      </c>
      <c r="V38" s="12" t="n">
        <f aca="false">C38/Premissas!$B$15*Premissas!$B$17+(G38+H38)*Premissas!$B$18</f>
        <v>0</v>
      </c>
      <c r="W38" s="15" t="n">
        <f aca="false">IF(V38&gt;0,DATE(YEAR(B38),MONTH(B38)+1,1)-Premissas!$B$11+1,0)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46341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IF(C39&gt;0,IF(DAY(B39)&lt;=Premissas!$B$12,DATE(YEAR(B39),MONTH(B39),Premissas!$B$13),DATE(YEAR(B39),MONTH(B39)+1,Premissas!$B$13))-Premissas!$B$11+1,0)</f>
        <v>0</v>
      </c>
      <c r="E39" s="12" t="n">
        <f aca="false">-SUMIF($D$5:$D$94,A39,$C$5:$C$94)*(1+Premissas!$B$14)</f>
        <v>-0</v>
      </c>
      <c r="F39" s="12" t="n">
        <f aca="false">-SUMIF($W$5:$W$94,A39,$V$5:$V$94)</f>
        <v>-0</v>
      </c>
      <c r="G39" s="29" t="n">
        <f aca="false">C39/Premissas!$B$15*Premissas!$B$16*Premissas!$B$20</f>
        <v>0</v>
      </c>
      <c r="H39" s="29" t="n">
        <f aca="false">C39/Premissas!$B$15*Premissas!$B$16*Premissas!$B$21</f>
        <v>0</v>
      </c>
      <c r="I39" s="12" t="n">
        <f aca="false">-G39*(Premissas!$B$54*Unitário!$B$22+Premissas!$B$55*Unitário!$B$23)</f>
        <v>-0</v>
      </c>
      <c r="J39" s="12" t="n">
        <f aca="false">IF($A39-(Premissas!$B$49)&gt;=1,INDEX($G$5:$G$94,$A39-(Premissas!$B$49)),0)*Premissas!$B$23*((Premissas!$B$54*Unitário!$B$22+Premissas!$B$55*Unitário!$B$23)-Premissas!$B$35)</f>
        <v>0</v>
      </c>
      <c r="K39" s="12" t="n">
        <f aca="false">IF($A39-(Premissas!$B$49+Premissas!$B$52)&gt;=1,INDEX($G$5:$G$94,$A39-(Premissas!$B$49+Premissas!$B$52)),0)*Premissas!$B$24*((Premissas!$B$54*Unitário!$B$22+Premissas!$B$55*Unitário!$B$23)-Premissas!$B$36)</f>
        <v>0</v>
      </c>
      <c r="L39" s="12" t="n">
        <f aca="false">IF($A39-(Premissas!$B$49+Premissas!$B$50)&gt;=1,INDEX($G$5:$G$94,$A39-(Premissas!$B$49+Premissas!$B$50)),0)*Unitário!$B$21*(Premissas!$B$46-(1-Premissas!$B$55)*Unitário!$B$23-(1-Premissas!$B$54)*Unitário!$B$22)</f>
        <v>0</v>
      </c>
      <c r="M39" s="12" t="n">
        <f aca="false">IF($A39-(Premissas!$B$51)&gt;=1,INDEX($H$5:$H$94,$A39-(Premissas!$B$51)),0)*(Premissas!$B$47-Unitário!$B$25)</f>
        <v>0</v>
      </c>
      <c r="N39" s="12" t="n">
        <f aca="false">-H39*(Premissas!$B$54*Unitário!$B$22+Premissas!$B$28)</f>
        <v>-0</v>
      </c>
      <c r="O39" s="12" t="n">
        <f aca="false">IF($A39-(Premissas!$B$49+Premissas!$B$52)&gt;=1,INDEX($H$5:$H$94,$A39-(Premissas!$B$49+Premissas!$B$52)),0)*Premissas!$B$24*(-Premissas!$B$47-Premissas!$B$36+Premissas!$B$28+Premissas!$B$54*Unitário!$B$22)</f>
        <v>-0</v>
      </c>
      <c r="P39" s="12" t="n">
        <f aca="false">-Premissas!$B$37*(IF($A39-(Premissas!$B$49+Premissas!$B$50)&gt;=1,INDEX($G$5:$G$94,$A39-(Premissas!$B$49+Premissas!$B$50)),0)*Unitário!$B$21*Premissas!$B$46+IF($A39-(Premissas!$B$51)&gt;=1,INDEX($H$5:$H$94,$A39-(Premissas!$B$51)),0)*(1-Premissas!$B$24)*Premissas!$B$47)</f>
        <v>-0</v>
      </c>
      <c r="Q39" s="12" t="n">
        <f aca="false">IF(DAY(B39)=1,-(Premissas!$B$38+Premissas!$B$59*Premissas!$B$60),0)</f>
        <v>0</v>
      </c>
      <c r="R39" s="12" t="n">
        <f aca="false">E39+F39+SUM(I39:Q39)</f>
        <v>0</v>
      </c>
      <c r="S39" s="12" t="n">
        <f aca="false">S38+R39</f>
        <v>1351.3582628</v>
      </c>
      <c r="T39" s="15" t="n">
        <f aca="false">IF(AND($A39&gt;$B$100,S39&gt;=0),1,0)</f>
        <v>1</v>
      </c>
      <c r="U39" s="12" t="n">
        <f aca="false">S39-SUM($E$5:E39)-(1+Premissas!$B$14)*SUM($C$5:C39)</f>
        <v>1283.0602628</v>
      </c>
      <c r="V39" s="12" t="n">
        <f aca="false">C39/Premissas!$B$15*Premissas!$B$17+(G39+H39)*Premissas!$B$18</f>
        <v>0</v>
      </c>
      <c r="W39" s="15" t="n">
        <f aca="false">IF(V39&gt;0,DATE(YEAR(B39),MONTH(B39)+1,1)-Premissas!$B$11+1,0)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46342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IF(C40&gt;0,IF(DAY(B40)&lt;=Premissas!$B$12,DATE(YEAR(B40),MONTH(B40),Premissas!$B$13),DATE(YEAR(B40),MONTH(B40)+1,Premissas!$B$13))-Premissas!$B$11+1,0)</f>
        <v>0</v>
      </c>
      <c r="E40" s="12" t="n">
        <f aca="false">-SUMIF($D$5:$D$94,A40,$C$5:$C$94)*(1+Premissas!$B$14)</f>
        <v>-0</v>
      </c>
      <c r="F40" s="12" t="n">
        <f aca="false">-SUMIF($W$5:$W$94,A40,$V$5:$V$94)</f>
        <v>-0</v>
      </c>
      <c r="G40" s="29" t="n">
        <f aca="false">C40/Premissas!$B$15*Premissas!$B$16*Premissas!$B$20</f>
        <v>0</v>
      </c>
      <c r="H40" s="29" t="n">
        <f aca="false">C40/Premissas!$B$15*Premissas!$B$16*Premissas!$B$21</f>
        <v>0</v>
      </c>
      <c r="I40" s="12" t="n">
        <f aca="false">-G40*(Premissas!$B$54*Unitário!$B$22+Premissas!$B$55*Unitário!$B$23)</f>
        <v>-0</v>
      </c>
      <c r="J40" s="12" t="n">
        <f aca="false">IF($A40-(Premissas!$B$49)&gt;=1,INDEX($G$5:$G$94,$A40-(Premissas!$B$49)),0)*Premissas!$B$23*((Premissas!$B$54*Unitário!$B$22+Premissas!$B$55*Unitário!$B$23)-Premissas!$B$35)</f>
        <v>0</v>
      </c>
      <c r="K40" s="12" t="n">
        <f aca="false">IF($A40-(Premissas!$B$49+Premissas!$B$52)&gt;=1,INDEX($G$5:$G$94,$A40-(Premissas!$B$49+Premissas!$B$52)),0)*Premissas!$B$24*((Premissas!$B$54*Unitário!$B$22+Premissas!$B$55*Unitário!$B$23)-Premissas!$B$36)</f>
        <v>0</v>
      </c>
      <c r="L40" s="12" t="n">
        <f aca="false">IF($A40-(Premissas!$B$49+Premissas!$B$50)&gt;=1,INDEX($G$5:$G$94,$A40-(Premissas!$B$49+Premissas!$B$50)),0)*Unitário!$B$21*(Premissas!$B$46-(1-Premissas!$B$55)*Unitário!$B$23-(1-Premissas!$B$54)*Unitário!$B$22)</f>
        <v>0</v>
      </c>
      <c r="M40" s="12" t="n">
        <f aca="false">IF($A40-(Premissas!$B$51)&gt;=1,INDEX($H$5:$H$94,$A40-(Premissas!$B$51)),0)*(Premissas!$B$47-Unitário!$B$25)</f>
        <v>0</v>
      </c>
      <c r="N40" s="12" t="n">
        <f aca="false">-H40*(Premissas!$B$54*Unitário!$B$22+Premissas!$B$28)</f>
        <v>-0</v>
      </c>
      <c r="O40" s="12" t="n">
        <f aca="false">IF($A40-(Premissas!$B$49+Premissas!$B$52)&gt;=1,INDEX($H$5:$H$94,$A40-(Premissas!$B$49+Premissas!$B$52)),0)*Premissas!$B$24*(-Premissas!$B$47-Premissas!$B$36+Premissas!$B$28+Premissas!$B$54*Unitário!$B$22)</f>
        <v>-0</v>
      </c>
      <c r="P40" s="12" t="n">
        <f aca="false">-Premissas!$B$37*(IF($A40-(Premissas!$B$49+Premissas!$B$50)&gt;=1,INDEX($G$5:$G$94,$A40-(Premissas!$B$49+Premissas!$B$50)),0)*Unitário!$B$21*Premissas!$B$46+IF($A40-(Premissas!$B$51)&gt;=1,INDEX($H$5:$H$94,$A40-(Premissas!$B$51)),0)*(1-Premissas!$B$24)*Premissas!$B$47)</f>
        <v>-0</v>
      </c>
      <c r="Q40" s="12" t="n">
        <f aca="false">IF(DAY(B40)=1,-(Premissas!$B$38+Premissas!$B$59*Premissas!$B$60),0)</f>
        <v>0</v>
      </c>
      <c r="R40" s="12" t="n">
        <f aca="false">E40+F40+SUM(I40:Q40)</f>
        <v>0</v>
      </c>
      <c r="S40" s="12" t="n">
        <f aca="false">S39+R40</f>
        <v>1351.3582628</v>
      </c>
      <c r="T40" s="15" t="n">
        <f aca="false">IF(AND($A40&gt;$B$100,S40&gt;=0),1,0)</f>
        <v>1</v>
      </c>
      <c r="U40" s="12" t="n">
        <f aca="false">S40-SUM($E$5:E40)-(1+Premissas!$B$14)*SUM($C$5:C40)</f>
        <v>1283.0602628</v>
      </c>
      <c r="V40" s="12" t="n">
        <f aca="false">C40/Premissas!$B$15*Premissas!$B$17+(G40+H40)*Premissas!$B$18</f>
        <v>0</v>
      </c>
      <c r="W40" s="15" t="n">
        <f aca="false">IF(V40&gt;0,DATE(YEAR(B40),MONTH(B40)+1,1)-Premissas!$B$11+1,0)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46343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IF(C41&gt;0,IF(DAY(B41)&lt;=Premissas!$B$12,DATE(YEAR(B41),MONTH(B41),Premissas!$B$13),DATE(YEAR(B41),MONTH(B41)+1,Premissas!$B$13))-Premissas!$B$11+1,0)</f>
        <v>0</v>
      </c>
      <c r="E41" s="12" t="n">
        <f aca="false">-SUMIF($D$5:$D$94,A41,$C$5:$C$94)*(1+Premissas!$B$14)</f>
        <v>-0</v>
      </c>
      <c r="F41" s="12" t="n">
        <f aca="false">-SUMIF($W$5:$W$94,A41,$V$5:$V$94)</f>
        <v>-0</v>
      </c>
      <c r="G41" s="29" t="n">
        <f aca="false">C41/Premissas!$B$15*Premissas!$B$16*Premissas!$B$20</f>
        <v>0</v>
      </c>
      <c r="H41" s="29" t="n">
        <f aca="false">C41/Premissas!$B$15*Premissas!$B$16*Premissas!$B$21</f>
        <v>0</v>
      </c>
      <c r="I41" s="12" t="n">
        <f aca="false">-G41*(Premissas!$B$54*Unitário!$B$22+Premissas!$B$55*Unitário!$B$23)</f>
        <v>-0</v>
      </c>
      <c r="J41" s="12" t="n">
        <f aca="false">IF($A41-(Premissas!$B$49)&gt;=1,INDEX($G$5:$G$94,$A41-(Premissas!$B$49)),0)*Premissas!$B$23*((Premissas!$B$54*Unitário!$B$22+Premissas!$B$55*Unitário!$B$23)-Premissas!$B$35)</f>
        <v>0</v>
      </c>
      <c r="K41" s="12" t="n">
        <f aca="false">IF($A41-(Premissas!$B$49+Premissas!$B$52)&gt;=1,INDEX($G$5:$G$94,$A41-(Premissas!$B$49+Premissas!$B$52)),0)*Premissas!$B$24*((Premissas!$B$54*Unitário!$B$22+Premissas!$B$55*Unitário!$B$23)-Premissas!$B$36)</f>
        <v>0</v>
      </c>
      <c r="L41" s="12" t="n">
        <f aca="false">IF($A41-(Premissas!$B$49+Premissas!$B$50)&gt;=1,INDEX($G$5:$G$94,$A41-(Premissas!$B$49+Premissas!$B$50)),0)*Unitário!$B$21*(Premissas!$B$46-(1-Premissas!$B$55)*Unitário!$B$23-(1-Premissas!$B$54)*Unitário!$B$22)</f>
        <v>0</v>
      </c>
      <c r="M41" s="12" t="n">
        <f aca="false">IF($A41-(Premissas!$B$51)&gt;=1,INDEX($H$5:$H$94,$A41-(Premissas!$B$51)),0)*(Premissas!$B$47-Unitário!$B$25)</f>
        <v>0</v>
      </c>
      <c r="N41" s="12" t="n">
        <f aca="false">-H41*(Premissas!$B$54*Unitário!$B$22+Premissas!$B$28)</f>
        <v>-0</v>
      </c>
      <c r="O41" s="12" t="n">
        <f aca="false">IF($A41-(Premissas!$B$49+Premissas!$B$52)&gt;=1,INDEX($H$5:$H$94,$A41-(Premissas!$B$49+Premissas!$B$52)),0)*Premissas!$B$24*(-Premissas!$B$47-Premissas!$B$36+Premissas!$B$28+Premissas!$B$54*Unitário!$B$22)</f>
        <v>-0</v>
      </c>
      <c r="P41" s="12" t="n">
        <f aca="false">-Premissas!$B$37*(IF($A41-(Premissas!$B$49+Premissas!$B$50)&gt;=1,INDEX($G$5:$G$94,$A41-(Premissas!$B$49+Premissas!$B$50)),0)*Unitário!$B$21*Premissas!$B$46+IF($A41-(Premissas!$B$51)&gt;=1,INDEX($H$5:$H$94,$A41-(Premissas!$B$51)),0)*(1-Premissas!$B$24)*Premissas!$B$47)</f>
        <v>-0</v>
      </c>
      <c r="Q41" s="12" t="n">
        <f aca="false">IF(DAY(B41)=1,-(Premissas!$B$38+Premissas!$B$59*Premissas!$B$60),0)</f>
        <v>0</v>
      </c>
      <c r="R41" s="12" t="n">
        <f aca="false">E41+F41+SUM(I41:Q41)</f>
        <v>0</v>
      </c>
      <c r="S41" s="12" t="n">
        <f aca="false">S40+R41</f>
        <v>1351.3582628</v>
      </c>
      <c r="T41" s="15" t="n">
        <f aca="false">IF(AND($A41&gt;$B$100,S41&gt;=0),1,0)</f>
        <v>1</v>
      </c>
      <c r="U41" s="12" t="n">
        <f aca="false">S41-SUM($E$5:E41)-(1+Premissas!$B$14)*SUM($C$5:C41)</f>
        <v>1283.0602628</v>
      </c>
      <c r="V41" s="12" t="n">
        <f aca="false">C41/Premissas!$B$15*Premissas!$B$17+(G41+H41)*Premissas!$B$18</f>
        <v>0</v>
      </c>
      <c r="W41" s="15" t="n">
        <f aca="false">IF(V41&gt;0,DATE(YEAR(B41),MONTH(B41)+1,1)-Premissas!$B$11+1,0)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46344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IF(C42&gt;0,IF(DAY(B42)&lt;=Premissas!$B$12,DATE(YEAR(B42),MONTH(B42),Premissas!$B$13),DATE(YEAR(B42),MONTH(B42)+1,Premissas!$B$13))-Premissas!$B$11+1,0)</f>
        <v>0</v>
      </c>
      <c r="E42" s="12" t="n">
        <f aca="false">-SUMIF($D$5:$D$94,A42,$C$5:$C$94)*(1+Premissas!$B$14)</f>
        <v>-0</v>
      </c>
      <c r="F42" s="12" t="n">
        <f aca="false">-SUMIF($W$5:$W$94,A42,$V$5:$V$94)</f>
        <v>-0</v>
      </c>
      <c r="G42" s="29" t="n">
        <f aca="false">C42/Premissas!$B$15*Premissas!$B$16*Premissas!$B$20</f>
        <v>0</v>
      </c>
      <c r="H42" s="29" t="n">
        <f aca="false">C42/Premissas!$B$15*Premissas!$B$16*Premissas!$B$21</f>
        <v>0</v>
      </c>
      <c r="I42" s="12" t="n">
        <f aca="false">-G42*(Premissas!$B$54*Unitário!$B$22+Premissas!$B$55*Unitário!$B$23)</f>
        <v>-0</v>
      </c>
      <c r="J42" s="12" t="n">
        <f aca="false">IF($A42-(Premissas!$B$49)&gt;=1,INDEX($G$5:$G$94,$A42-(Premissas!$B$49)),0)*Premissas!$B$23*((Premissas!$B$54*Unitário!$B$22+Premissas!$B$55*Unitário!$B$23)-Premissas!$B$35)</f>
        <v>0</v>
      </c>
      <c r="K42" s="12" t="n">
        <f aca="false">IF($A42-(Premissas!$B$49+Premissas!$B$52)&gt;=1,INDEX($G$5:$G$94,$A42-(Premissas!$B$49+Premissas!$B$52)),0)*Premissas!$B$24*((Premissas!$B$54*Unitário!$B$22+Premissas!$B$55*Unitário!$B$23)-Premissas!$B$36)</f>
        <v>0</v>
      </c>
      <c r="L42" s="12" t="n">
        <f aca="false">IF($A42-(Premissas!$B$49+Premissas!$B$50)&gt;=1,INDEX($G$5:$G$94,$A42-(Premissas!$B$49+Premissas!$B$50)),0)*Unitário!$B$21*(Premissas!$B$46-(1-Premissas!$B$55)*Unitário!$B$23-(1-Premissas!$B$54)*Unitário!$B$22)</f>
        <v>0</v>
      </c>
      <c r="M42" s="12" t="n">
        <f aca="false">IF($A42-(Premissas!$B$51)&gt;=1,INDEX($H$5:$H$94,$A42-(Premissas!$B$51)),0)*(Premissas!$B$47-Unitário!$B$25)</f>
        <v>0</v>
      </c>
      <c r="N42" s="12" t="n">
        <f aca="false">-H42*(Premissas!$B$54*Unitário!$B$22+Premissas!$B$28)</f>
        <v>-0</v>
      </c>
      <c r="O42" s="12" t="n">
        <f aca="false">IF($A42-(Premissas!$B$49+Premissas!$B$52)&gt;=1,INDEX($H$5:$H$94,$A42-(Premissas!$B$49+Premissas!$B$52)),0)*Premissas!$B$24*(-Premissas!$B$47-Premissas!$B$36+Premissas!$B$28+Premissas!$B$54*Unitário!$B$22)</f>
        <v>-0</v>
      </c>
      <c r="P42" s="12" t="n">
        <f aca="false">-Premissas!$B$37*(IF($A42-(Premissas!$B$49+Premissas!$B$50)&gt;=1,INDEX($G$5:$G$94,$A42-(Premissas!$B$49+Premissas!$B$50)),0)*Unitário!$B$21*Premissas!$B$46+IF($A42-(Premissas!$B$51)&gt;=1,INDEX($H$5:$H$94,$A42-(Premissas!$B$51)),0)*(1-Premissas!$B$24)*Premissas!$B$47)</f>
        <v>-0</v>
      </c>
      <c r="Q42" s="12" t="n">
        <f aca="false">IF(DAY(B42)=1,-(Premissas!$B$38+Premissas!$B$59*Premissas!$B$60),0)</f>
        <v>0</v>
      </c>
      <c r="R42" s="12" t="n">
        <f aca="false">E42+F42+SUM(I42:Q42)</f>
        <v>0</v>
      </c>
      <c r="S42" s="12" t="n">
        <f aca="false">S41+R42</f>
        <v>1351.3582628</v>
      </c>
      <c r="T42" s="15" t="n">
        <f aca="false">IF(AND($A42&gt;$B$100,S42&gt;=0),1,0)</f>
        <v>1</v>
      </c>
      <c r="U42" s="12" t="n">
        <f aca="false">S42-SUM($E$5:E42)-(1+Premissas!$B$14)*SUM($C$5:C42)</f>
        <v>1283.0602628</v>
      </c>
      <c r="V42" s="12" t="n">
        <f aca="false">C42/Premissas!$B$15*Premissas!$B$17+(G42+H42)*Premissas!$B$18</f>
        <v>0</v>
      </c>
      <c r="W42" s="15" t="n">
        <f aca="false">IF(V42&gt;0,DATE(YEAR(B42),MONTH(B42)+1,1)-Premissas!$B$11+1,0)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46345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IF(C43&gt;0,IF(DAY(B43)&lt;=Premissas!$B$12,DATE(YEAR(B43),MONTH(B43),Premissas!$B$13),DATE(YEAR(B43),MONTH(B43)+1,Premissas!$B$13))-Premissas!$B$11+1,0)</f>
        <v>0</v>
      </c>
      <c r="E43" s="12" t="n">
        <f aca="false">-SUMIF($D$5:$D$94,A43,$C$5:$C$94)*(1+Premissas!$B$14)</f>
        <v>-0</v>
      </c>
      <c r="F43" s="12" t="n">
        <f aca="false">-SUMIF($W$5:$W$94,A43,$V$5:$V$94)</f>
        <v>-0</v>
      </c>
      <c r="G43" s="29" t="n">
        <f aca="false">C43/Premissas!$B$15*Premissas!$B$16*Premissas!$B$20</f>
        <v>0</v>
      </c>
      <c r="H43" s="29" t="n">
        <f aca="false">C43/Premissas!$B$15*Premissas!$B$16*Premissas!$B$21</f>
        <v>0</v>
      </c>
      <c r="I43" s="12" t="n">
        <f aca="false">-G43*(Premissas!$B$54*Unitário!$B$22+Premissas!$B$55*Unitário!$B$23)</f>
        <v>-0</v>
      </c>
      <c r="J43" s="12" t="n">
        <f aca="false">IF($A43-(Premissas!$B$49)&gt;=1,INDEX($G$5:$G$94,$A43-(Premissas!$B$49)),0)*Premissas!$B$23*((Premissas!$B$54*Unitário!$B$22+Premissas!$B$55*Unitário!$B$23)-Premissas!$B$35)</f>
        <v>0</v>
      </c>
      <c r="K43" s="12" t="n">
        <f aca="false">IF($A43-(Premissas!$B$49+Premissas!$B$52)&gt;=1,INDEX($G$5:$G$94,$A43-(Premissas!$B$49+Premissas!$B$52)),0)*Premissas!$B$24*((Premissas!$B$54*Unitário!$B$22+Premissas!$B$55*Unitário!$B$23)-Premissas!$B$36)</f>
        <v>0</v>
      </c>
      <c r="L43" s="12" t="n">
        <f aca="false">IF($A43-(Premissas!$B$49+Premissas!$B$50)&gt;=1,INDEX($G$5:$G$94,$A43-(Premissas!$B$49+Premissas!$B$50)),0)*Unitário!$B$21*(Premissas!$B$46-(1-Premissas!$B$55)*Unitário!$B$23-(1-Premissas!$B$54)*Unitário!$B$22)</f>
        <v>0</v>
      </c>
      <c r="M43" s="12" t="n">
        <f aca="false">IF($A43-(Premissas!$B$51)&gt;=1,INDEX($H$5:$H$94,$A43-(Premissas!$B$51)),0)*(Premissas!$B$47-Unitário!$B$25)</f>
        <v>0</v>
      </c>
      <c r="N43" s="12" t="n">
        <f aca="false">-H43*(Premissas!$B$54*Unitário!$B$22+Premissas!$B$28)</f>
        <v>-0</v>
      </c>
      <c r="O43" s="12" t="n">
        <f aca="false">IF($A43-(Premissas!$B$49+Premissas!$B$52)&gt;=1,INDEX($H$5:$H$94,$A43-(Premissas!$B$49+Premissas!$B$52)),0)*Premissas!$B$24*(-Premissas!$B$47-Premissas!$B$36+Premissas!$B$28+Premissas!$B$54*Unitário!$B$22)</f>
        <v>-0</v>
      </c>
      <c r="P43" s="12" t="n">
        <f aca="false">-Premissas!$B$37*(IF($A43-(Premissas!$B$49+Premissas!$B$50)&gt;=1,INDEX($G$5:$G$94,$A43-(Premissas!$B$49+Premissas!$B$50)),0)*Unitário!$B$21*Premissas!$B$46+IF($A43-(Premissas!$B$51)&gt;=1,INDEX($H$5:$H$94,$A43-(Premissas!$B$51)),0)*(1-Premissas!$B$24)*Premissas!$B$47)</f>
        <v>-0</v>
      </c>
      <c r="Q43" s="12" t="n">
        <f aca="false">IF(DAY(B43)=1,-(Premissas!$B$38+Premissas!$B$59*Premissas!$B$60),0)</f>
        <v>0</v>
      </c>
      <c r="R43" s="12" t="n">
        <f aca="false">E43+F43+SUM(I43:Q43)</f>
        <v>0</v>
      </c>
      <c r="S43" s="12" t="n">
        <f aca="false">S42+R43</f>
        <v>1351.3582628</v>
      </c>
      <c r="T43" s="15" t="n">
        <f aca="false">IF(AND($A43&gt;$B$100,S43&gt;=0),1,0)</f>
        <v>1</v>
      </c>
      <c r="U43" s="12" t="n">
        <f aca="false">S43-SUM($E$5:E43)-(1+Premissas!$B$14)*SUM($C$5:C43)</f>
        <v>1283.0602628</v>
      </c>
      <c r="V43" s="12" t="n">
        <f aca="false">C43/Premissas!$B$15*Premissas!$B$17+(G43+H43)*Premissas!$B$18</f>
        <v>0</v>
      </c>
      <c r="W43" s="15" t="n">
        <f aca="false">IF(V43&gt;0,DATE(YEAR(B43),MONTH(B43)+1,1)-Premissas!$B$11+1,0)</f>
        <v>0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46346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IF(C44&gt;0,IF(DAY(B44)&lt;=Premissas!$B$12,DATE(YEAR(B44),MONTH(B44),Premissas!$B$13),DATE(YEAR(B44),MONTH(B44)+1,Premissas!$B$13))-Premissas!$B$11+1,0)</f>
        <v>0</v>
      </c>
      <c r="E44" s="12" t="n">
        <f aca="false">-SUMIF($D$5:$D$94,A44,$C$5:$C$94)*(1+Premissas!$B$14)</f>
        <v>-0</v>
      </c>
      <c r="F44" s="12" t="n">
        <f aca="false">-SUMIF($W$5:$W$94,A44,$V$5:$V$94)</f>
        <v>-0</v>
      </c>
      <c r="G44" s="29" t="n">
        <f aca="false">C44/Premissas!$B$15*Premissas!$B$16*Premissas!$B$20</f>
        <v>0</v>
      </c>
      <c r="H44" s="29" t="n">
        <f aca="false">C44/Premissas!$B$15*Premissas!$B$16*Premissas!$B$21</f>
        <v>0</v>
      </c>
      <c r="I44" s="12" t="n">
        <f aca="false">-G44*(Premissas!$B$54*Unitário!$B$22+Premissas!$B$55*Unitário!$B$23)</f>
        <v>-0</v>
      </c>
      <c r="J44" s="12" t="n">
        <f aca="false">IF($A44-(Premissas!$B$49)&gt;=1,INDEX($G$5:$G$94,$A44-(Premissas!$B$49)),0)*Premissas!$B$23*((Premissas!$B$54*Unitário!$B$22+Premissas!$B$55*Unitário!$B$23)-Premissas!$B$35)</f>
        <v>0</v>
      </c>
      <c r="K44" s="12" t="n">
        <f aca="false">IF($A44-(Premissas!$B$49+Premissas!$B$52)&gt;=1,INDEX($G$5:$G$94,$A44-(Premissas!$B$49+Premissas!$B$52)),0)*Premissas!$B$24*((Premissas!$B$54*Unitário!$B$22+Premissas!$B$55*Unitário!$B$23)-Premissas!$B$36)</f>
        <v>0</v>
      </c>
      <c r="L44" s="12" t="n">
        <f aca="false">IF($A44-(Premissas!$B$49+Premissas!$B$50)&gt;=1,INDEX($G$5:$G$94,$A44-(Premissas!$B$49+Premissas!$B$50)),0)*Unitário!$B$21*(Premissas!$B$46-(1-Premissas!$B$55)*Unitário!$B$23-(1-Premissas!$B$54)*Unitário!$B$22)</f>
        <v>0</v>
      </c>
      <c r="M44" s="12" t="n">
        <f aca="false">IF($A44-(Premissas!$B$51)&gt;=1,INDEX($H$5:$H$94,$A44-(Premissas!$B$51)),0)*(Premissas!$B$47-Unitário!$B$25)</f>
        <v>0</v>
      </c>
      <c r="N44" s="12" t="n">
        <f aca="false">-H44*(Premissas!$B$54*Unitário!$B$22+Premissas!$B$28)</f>
        <v>-0</v>
      </c>
      <c r="O44" s="12" t="n">
        <f aca="false">IF($A44-(Premissas!$B$49+Premissas!$B$52)&gt;=1,INDEX($H$5:$H$94,$A44-(Premissas!$B$49+Premissas!$B$52)),0)*Premissas!$B$24*(-Premissas!$B$47-Premissas!$B$36+Premissas!$B$28+Premissas!$B$54*Unitário!$B$22)</f>
        <v>-0</v>
      </c>
      <c r="P44" s="12" t="n">
        <f aca="false">-Premissas!$B$37*(IF($A44-(Premissas!$B$49+Premissas!$B$50)&gt;=1,INDEX($G$5:$G$94,$A44-(Premissas!$B$49+Premissas!$B$50)),0)*Unitário!$B$21*Premissas!$B$46+IF($A44-(Premissas!$B$51)&gt;=1,INDEX($H$5:$H$94,$A44-(Premissas!$B$51)),0)*(1-Premissas!$B$24)*Premissas!$B$47)</f>
        <v>-0</v>
      </c>
      <c r="Q44" s="12" t="n">
        <f aca="false">IF(DAY(B44)=1,-(Premissas!$B$38+Premissas!$B$59*Premissas!$B$60),0)</f>
        <v>0</v>
      </c>
      <c r="R44" s="12" t="n">
        <f aca="false">E44+F44+SUM(I44:Q44)</f>
        <v>0</v>
      </c>
      <c r="S44" s="12" t="n">
        <f aca="false">S43+R44</f>
        <v>1351.3582628</v>
      </c>
      <c r="T44" s="15" t="n">
        <f aca="false">IF(AND($A44&gt;$B$100,S44&gt;=0),1,0)</f>
        <v>1</v>
      </c>
      <c r="U44" s="12" t="n">
        <f aca="false">S44-SUM($E$5:E44)-(1+Premissas!$B$14)*SUM($C$5:C44)</f>
        <v>1283.0602628</v>
      </c>
      <c r="V44" s="12" t="n">
        <f aca="false">C44/Premissas!$B$15*Premissas!$B$17+(G44+H44)*Premissas!$B$18</f>
        <v>0</v>
      </c>
      <c r="W44" s="15" t="n">
        <f aca="false">IF(V44&gt;0,DATE(YEAR(B44),MONTH(B44)+1,1)-Premissas!$B$11+1,0)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46347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IF(C45&gt;0,IF(DAY(B45)&lt;=Premissas!$B$12,DATE(YEAR(B45),MONTH(B45),Premissas!$B$13),DATE(YEAR(B45),MONTH(B45)+1,Premissas!$B$13))-Premissas!$B$11+1,0)</f>
        <v>0</v>
      </c>
      <c r="E45" s="12" t="n">
        <f aca="false">-SUMIF($D$5:$D$94,A45,$C$5:$C$94)*(1+Premissas!$B$14)</f>
        <v>-0</v>
      </c>
      <c r="F45" s="12" t="n">
        <f aca="false">-SUMIF($W$5:$W$94,A45,$V$5:$V$94)</f>
        <v>-0</v>
      </c>
      <c r="G45" s="29" t="n">
        <f aca="false">C45/Premissas!$B$15*Premissas!$B$16*Premissas!$B$20</f>
        <v>0</v>
      </c>
      <c r="H45" s="29" t="n">
        <f aca="false">C45/Premissas!$B$15*Premissas!$B$16*Premissas!$B$21</f>
        <v>0</v>
      </c>
      <c r="I45" s="12" t="n">
        <f aca="false">-G45*(Premissas!$B$54*Unitário!$B$22+Premissas!$B$55*Unitário!$B$23)</f>
        <v>-0</v>
      </c>
      <c r="J45" s="12" t="n">
        <f aca="false">IF($A45-(Premissas!$B$49)&gt;=1,INDEX($G$5:$G$94,$A45-(Premissas!$B$49)),0)*Premissas!$B$23*((Premissas!$B$54*Unitário!$B$22+Premissas!$B$55*Unitário!$B$23)-Premissas!$B$35)</f>
        <v>0</v>
      </c>
      <c r="K45" s="12" t="n">
        <f aca="false">IF($A45-(Premissas!$B$49+Premissas!$B$52)&gt;=1,INDEX($G$5:$G$94,$A45-(Premissas!$B$49+Premissas!$B$52)),0)*Premissas!$B$24*((Premissas!$B$54*Unitário!$B$22+Premissas!$B$55*Unitário!$B$23)-Premissas!$B$36)</f>
        <v>0</v>
      </c>
      <c r="L45" s="12" t="n">
        <f aca="false">IF($A45-(Premissas!$B$49+Premissas!$B$50)&gt;=1,INDEX($G$5:$G$94,$A45-(Premissas!$B$49+Premissas!$B$50)),0)*Unitário!$B$21*(Premissas!$B$46-(1-Premissas!$B$55)*Unitário!$B$23-(1-Premissas!$B$54)*Unitário!$B$22)</f>
        <v>0</v>
      </c>
      <c r="M45" s="12" t="n">
        <f aca="false">IF($A45-(Premissas!$B$51)&gt;=1,INDEX($H$5:$H$94,$A45-(Premissas!$B$51)),0)*(Premissas!$B$47-Unitário!$B$25)</f>
        <v>0</v>
      </c>
      <c r="N45" s="12" t="n">
        <f aca="false">-H45*(Premissas!$B$54*Unitário!$B$22+Premissas!$B$28)</f>
        <v>-0</v>
      </c>
      <c r="O45" s="12" t="n">
        <f aca="false">IF($A45-(Premissas!$B$49+Premissas!$B$52)&gt;=1,INDEX($H$5:$H$94,$A45-(Premissas!$B$49+Premissas!$B$52)),0)*Premissas!$B$24*(-Premissas!$B$47-Premissas!$B$36+Premissas!$B$28+Premissas!$B$54*Unitário!$B$22)</f>
        <v>-0</v>
      </c>
      <c r="P45" s="12" t="n">
        <f aca="false">-Premissas!$B$37*(IF($A45-(Premissas!$B$49+Premissas!$B$50)&gt;=1,INDEX($G$5:$G$94,$A45-(Premissas!$B$49+Premissas!$B$50)),0)*Unitário!$B$21*Premissas!$B$46+IF($A45-(Premissas!$B$51)&gt;=1,INDEX($H$5:$H$94,$A45-(Premissas!$B$51)),0)*(1-Premissas!$B$24)*Premissas!$B$47)</f>
        <v>-0</v>
      </c>
      <c r="Q45" s="12" t="n">
        <f aca="false">IF(DAY(B45)=1,-(Premissas!$B$38+Premissas!$B$59*Premissas!$B$60),0)</f>
        <v>0</v>
      </c>
      <c r="R45" s="12" t="n">
        <f aca="false">E45+F45+SUM(I45:Q45)</f>
        <v>0</v>
      </c>
      <c r="S45" s="12" t="n">
        <f aca="false">S44+R45</f>
        <v>1351.3582628</v>
      </c>
      <c r="T45" s="15" t="n">
        <f aca="false">IF(AND($A45&gt;$B$100,S45&gt;=0),1,0)</f>
        <v>1</v>
      </c>
      <c r="U45" s="12" t="n">
        <f aca="false">S45-SUM($E$5:E45)-(1+Premissas!$B$14)*SUM($C$5:C45)</f>
        <v>1283.0602628</v>
      </c>
      <c r="V45" s="12" t="n">
        <f aca="false">C45/Premissas!$B$15*Premissas!$B$17+(G45+H45)*Premissas!$B$18</f>
        <v>0</v>
      </c>
      <c r="W45" s="15" t="n">
        <f aca="false">IF(V45&gt;0,DATE(YEAR(B45),MONTH(B45)+1,1)-Premissas!$B$11+1,0)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46348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IF(C46&gt;0,IF(DAY(B46)&lt;=Premissas!$B$12,DATE(YEAR(B46),MONTH(B46),Premissas!$B$13),DATE(YEAR(B46),MONTH(B46)+1,Premissas!$B$13))-Premissas!$B$11+1,0)</f>
        <v>0</v>
      </c>
      <c r="E46" s="12" t="n">
        <f aca="false">-SUMIF($D$5:$D$94,A46,$C$5:$C$94)*(1+Premissas!$B$14)</f>
        <v>-0</v>
      </c>
      <c r="F46" s="12" t="n">
        <f aca="false">-SUMIF($W$5:$W$94,A46,$V$5:$V$94)</f>
        <v>-0</v>
      </c>
      <c r="G46" s="29" t="n">
        <f aca="false">C46/Premissas!$B$15*Premissas!$B$16*Premissas!$B$20</f>
        <v>0</v>
      </c>
      <c r="H46" s="29" t="n">
        <f aca="false">C46/Premissas!$B$15*Premissas!$B$16*Premissas!$B$21</f>
        <v>0</v>
      </c>
      <c r="I46" s="12" t="n">
        <f aca="false">-G46*(Premissas!$B$54*Unitário!$B$22+Premissas!$B$55*Unitário!$B$23)</f>
        <v>-0</v>
      </c>
      <c r="J46" s="12" t="n">
        <f aca="false">IF($A46-(Premissas!$B$49)&gt;=1,INDEX($G$5:$G$94,$A46-(Premissas!$B$49)),0)*Premissas!$B$23*((Premissas!$B$54*Unitário!$B$22+Premissas!$B$55*Unitário!$B$23)-Premissas!$B$35)</f>
        <v>0</v>
      </c>
      <c r="K46" s="12" t="n">
        <f aca="false">IF($A46-(Premissas!$B$49+Premissas!$B$52)&gt;=1,INDEX($G$5:$G$94,$A46-(Premissas!$B$49+Premissas!$B$52)),0)*Premissas!$B$24*((Premissas!$B$54*Unitário!$B$22+Premissas!$B$55*Unitário!$B$23)-Premissas!$B$36)</f>
        <v>0</v>
      </c>
      <c r="L46" s="12" t="n">
        <f aca="false">IF($A46-(Premissas!$B$49+Premissas!$B$50)&gt;=1,INDEX($G$5:$G$94,$A46-(Premissas!$B$49+Premissas!$B$50)),0)*Unitário!$B$21*(Premissas!$B$46-(1-Premissas!$B$55)*Unitário!$B$23-(1-Premissas!$B$54)*Unitário!$B$22)</f>
        <v>0</v>
      </c>
      <c r="M46" s="12" t="n">
        <f aca="false">IF($A46-(Premissas!$B$51)&gt;=1,INDEX($H$5:$H$94,$A46-(Premissas!$B$51)),0)*(Premissas!$B$47-Unitário!$B$25)</f>
        <v>0</v>
      </c>
      <c r="N46" s="12" t="n">
        <f aca="false">-H46*(Premissas!$B$54*Unitário!$B$22+Premissas!$B$28)</f>
        <v>-0</v>
      </c>
      <c r="O46" s="12" t="n">
        <f aca="false">IF($A46-(Premissas!$B$49+Premissas!$B$52)&gt;=1,INDEX($H$5:$H$94,$A46-(Premissas!$B$49+Premissas!$B$52)),0)*Premissas!$B$24*(-Premissas!$B$47-Premissas!$B$36+Premissas!$B$28+Premissas!$B$54*Unitário!$B$22)</f>
        <v>-0</v>
      </c>
      <c r="P46" s="12" t="n">
        <f aca="false">-Premissas!$B$37*(IF($A46-(Premissas!$B$49+Premissas!$B$50)&gt;=1,INDEX($G$5:$G$94,$A46-(Premissas!$B$49+Premissas!$B$50)),0)*Unitário!$B$21*Premissas!$B$46+IF($A46-(Premissas!$B$51)&gt;=1,INDEX($H$5:$H$94,$A46-(Premissas!$B$51)),0)*(1-Premissas!$B$24)*Premissas!$B$47)</f>
        <v>-0</v>
      </c>
      <c r="Q46" s="12" t="n">
        <f aca="false">IF(DAY(B46)=1,-(Premissas!$B$38+Premissas!$B$59*Premissas!$B$60),0)</f>
        <v>0</v>
      </c>
      <c r="R46" s="12" t="n">
        <f aca="false">E46+F46+SUM(I46:Q46)</f>
        <v>0</v>
      </c>
      <c r="S46" s="12" t="n">
        <f aca="false">S45+R46</f>
        <v>1351.3582628</v>
      </c>
      <c r="T46" s="15" t="n">
        <f aca="false">IF(AND($A46&gt;$B$100,S46&gt;=0),1,0)</f>
        <v>1</v>
      </c>
      <c r="U46" s="12" t="n">
        <f aca="false">S46-SUM($E$5:E46)-(1+Premissas!$B$14)*SUM($C$5:C46)</f>
        <v>1283.0602628</v>
      </c>
      <c r="V46" s="12" t="n">
        <f aca="false">C46/Premissas!$B$15*Premissas!$B$17+(G46+H46)*Premissas!$B$18</f>
        <v>0</v>
      </c>
      <c r="W46" s="15" t="n">
        <f aca="false">IF(V46&gt;0,DATE(YEAR(B46),MONTH(B46)+1,1)-Premissas!$B$11+1,0)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46349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IF(C47&gt;0,IF(DAY(B47)&lt;=Premissas!$B$12,DATE(YEAR(B47),MONTH(B47),Premissas!$B$13),DATE(YEAR(B47),MONTH(B47)+1,Premissas!$B$13))-Premissas!$B$11+1,0)</f>
        <v>0</v>
      </c>
      <c r="E47" s="12" t="n">
        <f aca="false">-SUMIF($D$5:$D$94,A47,$C$5:$C$94)*(1+Premissas!$B$14)</f>
        <v>-0</v>
      </c>
      <c r="F47" s="12" t="n">
        <f aca="false">-SUMIF($W$5:$W$94,A47,$V$5:$V$94)</f>
        <v>-0</v>
      </c>
      <c r="G47" s="29" t="n">
        <f aca="false">C47/Premissas!$B$15*Premissas!$B$16*Premissas!$B$20</f>
        <v>0</v>
      </c>
      <c r="H47" s="29" t="n">
        <f aca="false">C47/Premissas!$B$15*Premissas!$B$16*Premissas!$B$21</f>
        <v>0</v>
      </c>
      <c r="I47" s="12" t="n">
        <f aca="false">-G47*(Premissas!$B$54*Unitário!$B$22+Premissas!$B$55*Unitário!$B$23)</f>
        <v>-0</v>
      </c>
      <c r="J47" s="12" t="n">
        <f aca="false">IF($A47-(Premissas!$B$49)&gt;=1,INDEX($G$5:$G$94,$A47-(Premissas!$B$49)),0)*Premissas!$B$23*((Premissas!$B$54*Unitário!$B$22+Premissas!$B$55*Unitário!$B$23)-Premissas!$B$35)</f>
        <v>0</v>
      </c>
      <c r="K47" s="12" t="n">
        <f aca="false">IF($A47-(Premissas!$B$49+Premissas!$B$52)&gt;=1,INDEX($G$5:$G$94,$A47-(Premissas!$B$49+Premissas!$B$52)),0)*Premissas!$B$24*((Premissas!$B$54*Unitário!$B$22+Premissas!$B$55*Unitário!$B$23)-Premissas!$B$36)</f>
        <v>0</v>
      </c>
      <c r="L47" s="12" t="n">
        <f aca="false">IF($A47-(Premissas!$B$49+Premissas!$B$50)&gt;=1,INDEX($G$5:$G$94,$A47-(Premissas!$B$49+Premissas!$B$50)),0)*Unitário!$B$21*(Premissas!$B$46-(1-Premissas!$B$55)*Unitário!$B$23-(1-Premissas!$B$54)*Unitário!$B$22)</f>
        <v>0</v>
      </c>
      <c r="M47" s="12" t="n">
        <f aca="false">IF($A47-(Premissas!$B$51)&gt;=1,INDEX($H$5:$H$94,$A47-(Premissas!$B$51)),0)*(Premissas!$B$47-Unitário!$B$25)</f>
        <v>0</v>
      </c>
      <c r="N47" s="12" t="n">
        <f aca="false">-H47*(Premissas!$B$54*Unitário!$B$22+Premissas!$B$28)</f>
        <v>-0</v>
      </c>
      <c r="O47" s="12" t="n">
        <f aca="false">IF($A47-(Premissas!$B$49+Premissas!$B$52)&gt;=1,INDEX($H$5:$H$94,$A47-(Premissas!$B$49+Premissas!$B$52)),0)*Premissas!$B$24*(-Premissas!$B$47-Premissas!$B$36+Premissas!$B$28+Premissas!$B$54*Unitário!$B$22)</f>
        <v>-0</v>
      </c>
      <c r="P47" s="12" t="n">
        <f aca="false">-Premissas!$B$37*(IF($A47-(Premissas!$B$49+Premissas!$B$50)&gt;=1,INDEX($G$5:$G$94,$A47-(Premissas!$B$49+Premissas!$B$50)),0)*Unitário!$B$21*Premissas!$B$46+IF($A47-(Premissas!$B$51)&gt;=1,INDEX($H$5:$H$94,$A47-(Premissas!$B$51)),0)*(1-Premissas!$B$24)*Premissas!$B$47)</f>
        <v>-0</v>
      </c>
      <c r="Q47" s="12" t="n">
        <f aca="false">IF(DAY(B47)=1,-(Premissas!$B$38+Premissas!$B$59*Premissas!$B$60),0)</f>
        <v>0</v>
      </c>
      <c r="R47" s="12" t="n">
        <f aca="false">E47+F47+SUM(I47:Q47)</f>
        <v>0</v>
      </c>
      <c r="S47" s="12" t="n">
        <f aca="false">S46+R47</f>
        <v>1351.3582628</v>
      </c>
      <c r="T47" s="15" t="n">
        <f aca="false">IF(AND($A47&gt;$B$100,S47&gt;=0),1,0)</f>
        <v>1</v>
      </c>
      <c r="U47" s="12" t="n">
        <f aca="false">S47-SUM($E$5:E47)-(1+Premissas!$B$14)*SUM($C$5:C47)</f>
        <v>1283.0602628</v>
      </c>
      <c r="V47" s="12" t="n">
        <f aca="false">C47/Premissas!$B$15*Premissas!$B$17+(G47+H47)*Premissas!$B$18</f>
        <v>0</v>
      </c>
      <c r="W47" s="15" t="n">
        <f aca="false">IF(V47&gt;0,DATE(YEAR(B47),MONTH(B47)+1,1)-Premissas!$B$11+1,0)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46350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IF(C48&gt;0,IF(DAY(B48)&lt;=Premissas!$B$12,DATE(YEAR(B48),MONTH(B48),Premissas!$B$13),DATE(YEAR(B48),MONTH(B48)+1,Premissas!$B$13))-Premissas!$B$11+1,0)</f>
        <v>0</v>
      </c>
      <c r="E48" s="12" t="n">
        <f aca="false">-SUMIF($D$5:$D$94,A48,$C$5:$C$94)*(1+Premissas!$B$14)</f>
        <v>-0</v>
      </c>
      <c r="F48" s="12" t="n">
        <f aca="false">-SUMIF($W$5:$W$94,A48,$V$5:$V$94)</f>
        <v>-0</v>
      </c>
      <c r="G48" s="29" t="n">
        <f aca="false">C48/Premissas!$B$15*Premissas!$B$16*Premissas!$B$20</f>
        <v>0</v>
      </c>
      <c r="H48" s="29" t="n">
        <f aca="false">C48/Premissas!$B$15*Premissas!$B$16*Premissas!$B$21</f>
        <v>0</v>
      </c>
      <c r="I48" s="12" t="n">
        <f aca="false">-G48*(Premissas!$B$54*Unitário!$B$22+Premissas!$B$55*Unitário!$B$23)</f>
        <v>-0</v>
      </c>
      <c r="J48" s="12" t="n">
        <f aca="false">IF($A48-(Premissas!$B$49)&gt;=1,INDEX($G$5:$G$94,$A48-(Premissas!$B$49)),0)*Premissas!$B$23*((Premissas!$B$54*Unitário!$B$22+Premissas!$B$55*Unitário!$B$23)-Premissas!$B$35)</f>
        <v>0</v>
      </c>
      <c r="K48" s="12" t="n">
        <f aca="false">IF($A48-(Premissas!$B$49+Premissas!$B$52)&gt;=1,INDEX($G$5:$G$94,$A48-(Premissas!$B$49+Premissas!$B$52)),0)*Premissas!$B$24*((Premissas!$B$54*Unitário!$B$22+Premissas!$B$55*Unitário!$B$23)-Premissas!$B$36)</f>
        <v>0</v>
      </c>
      <c r="L48" s="12" t="n">
        <f aca="false">IF($A48-(Premissas!$B$49+Premissas!$B$50)&gt;=1,INDEX($G$5:$G$94,$A48-(Premissas!$B$49+Premissas!$B$50)),0)*Unitário!$B$21*(Premissas!$B$46-(1-Premissas!$B$55)*Unitário!$B$23-(1-Premissas!$B$54)*Unitário!$B$22)</f>
        <v>0</v>
      </c>
      <c r="M48" s="12" t="n">
        <f aca="false">IF($A48-(Premissas!$B$51)&gt;=1,INDEX($H$5:$H$94,$A48-(Premissas!$B$51)),0)*(Premissas!$B$47-Unitário!$B$25)</f>
        <v>0</v>
      </c>
      <c r="N48" s="12" t="n">
        <f aca="false">-H48*(Premissas!$B$54*Unitário!$B$22+Premissas!$B$28)</f>
        <v>-0</v>
      </c>
      <c r="O48" s="12" t="n">
        <f aca="false">IF($A48-(Premissas!$B$49+Premissas!$B$52)&gt;=1,INDEX($H$5:$H$94,$A48-(Premissas!$B$49+Premissas!$B$52)),0)*Premissas!$B$24*(-Premissas!$B$47-Premissas!$B$36+Premissas!$B$28+Premissas!$B$54*Unitário!$B$22)</f>
        <v>-0</v>
      </c>
      <c r="P48" s="12" t="n">
        <f aca="false">-Premissas!$B$37*(IF($A48-(Premissas!$B$49+Premissas!$B$50)&gt;=1,INDEX($G$5:$G$94,$A48-(Premissas!$B$49+Premissas!$B$50)),0)*Unitário!$B$21*Premissas!$B$46+IF($A48-(Premissas!$B$51)&gt;=1,INDEX($H$5:$H$94,$A48-(Premissas!$B$51)),0)*(1-Premissas!$B$24)*Premissas!$B$47)</f>
        <v>-0</v>
      </c>
      <c r="Q48" s="12" t="n">
        <f aca="false">IF(DAY(B48)=1,-(Premissas!$B$38+Premissas!$B$59*Premissas!$B$60),0)</f>
        <v>0</v>
      </c>
      <c r="R48" s="12" t="n">
        <f aca="false">E48+F48+SUM(I48:Q48)</f>
        <v>0</v>
      </c>
      <c r="S48" s="12" t="n">
        <f aca="false">S47+R48</f>
        <v>1351.3582628</v>
      </c>
      <c r="T48" s="15" t="n">
        <f aca="false">IF(AND($A48&gt;$B$100,S48&gt;=0),1,0)</f>
        <v>1</v>
      </c>
      <c r="U48" s="12" t="n">
        <f aca="false">S48-SUM($E$5:E48)-(1+Premissas!$B$14)*SUM($C$5:C48)</f>
        <v>1283.0602628</v>
      </c>
      <c r="V48" s="12" t="n">
        <f aca="false">C48/Premissas!$B$15*Premissas!$B$17+(G48+H48)*Premissas!$B$18</f>
        <v>0</v>
      </c>
      <c r="W48" s="15" t="n">
        <f aca="false">IF(V48&gt;0,DATE(YEAR(B48),MONTH(B48)+1,1)-Premissas!$B$11+1,0)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46351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IF(C49&gt;0,IF(DAY(B49)&lt;=Premissas!$B$12,DATE(YEAR(B49),MONTH(B49),Premissas!$B$13),DATE(YEAR(B49),MONTH(B49)+1,Premissas!$B$13))-Premissas!$B$11+1,0)</f>
        <v>0</v>
      </c>
      <c r="E49" s="12" t="n">
        <f aca="false">-SUMIF($D$5:$D$94,A49,$C$5:$C$94)*(1+Premissas!$B$14)</f>
        <v>-0</v>
      </c>
      <c r="F49" s="12" t="n">
        <f aca="false">-SUMIF($W$5:$W$94,A49,$V$5:$V$94)</f>
        <v>-0</v>
      </c>
      <c r="G49" s="29" t="n">
        <f aca="false">C49/Premissas!$B$15*Premissas!$B$16*Premissas!$B$20</f>
        <v>0</v>
      </c>
      <c r="H49" s="29" t="n">
        <f aca="false">C49/Premissas!$B$15*Premissas!$B$16*Premissas!$B$21</f>
        <v>0</v>
      </c>
      <c r="I49" s="12" t="n">
        <f aca="false">-G49*(Premissas!$B$54*Unitário!$B$22+Premissas!$B$55*Unitário!$B$23)</f>
        <v>-0</v>
      </c>
      <c r="J49" s="12" t="n">
        <f aca="false">IF($A49-(Premissas!$B$49)&gt;=1,INDEX($G$5:$G$94,$A49-(Premissas!$B$49)),0)*Premissas!$B$23*((Premissas!$B$54*Unitário!$B$22+Premissas!$B$55*Unitário!$B$23)-Premissas!$B$35)</f>
        <v>0</v>
      </c>
      <c r="K49" s="12" t="n">
        <f aca="false">IF($A49-(Premissas!$B$49+Premissas!$B$52)&gt;=1,INDEX($G$5:$G$94,$A49-(Premissas!$B$49+Premissas!$B$52)),0)*Premissas!$B$24*((Premissas!$B$54*Unitário!$B$22+Premissas!$B$55*Unitário!$B$23)-Premissas!$B$36)</f>
        <v>0</v>
      </c>
      <c r="L49" s="12" t="n">
        <f aca="false">IF($A49-(Premissas!$B$49+Premissas!$B$50)&gt;=1,INDEX($G$5:$G$94,$A49-(Premissas!$B$49+Premissas!$B$50)),0)*Unitário!$B$21*(Premissas!$B$46-(1-Premissas!$B$55)*Unitário!$B$23-(1-Premissas!$B$54)*Unitário!$B$22)</f>
        <v>0</v>
      </c>
      <c r="M49" s="12" t="n">
        <f aca="false">IF($A49-(Premissas!$B$51)&gt;=1,INDEX($H$5:$H$94,$A49-(Premissas!$B$51)),0)*(Premissas!$B$47-Unitário!$B$25)</f>
        <v>0</v>
      </c>
      <c r="N49" s="12" t="n">
        <f aca="false">-H49*(Premissas!$B$54*Unitário!$B$22+Premissas!$B$28)</f>
        <v>-0</v>
      </c>
      <c r="O49" s="12" t="n">
        <f aca="false">IF($A49-(Premissas!$B$49+Premissas!$B$52)&gt;=1,INDEX($H$5:$H$94,$A49-(Premissas!$B$49+Premissas!$B$52)),0)*Premissas!$B$24*(-Premissas!$B$47-Premissas!$B$36+Premissas!$B$28+Premissas!$B$54*Unitário!$B$22)</f>
        <v>-0</v>
      </c>
      <c r="P49" s="12" t="n">
        <f aca="false">-Premissas!$B$37*(IF($A49-(Premissas!$B$49+Premissas!$B$50)&gt;=1,INDEX($G$5:$G$94,$A49-(Premissas!$B$49+Premissas!$B$50)),0)*Unitário!$B$21*Premissas!$B$46+IF($A49-(Premissas!$B$51)&gt;=1,INDEX($H$5:$H$94,$A49-(Premissas!$B$51)),0)*(1-Premissas!$B$24)*Premissas!$B$47)</f>
        <v>-0</v>
      </c>
      <c r="Q49" s="12" t="n">
        <f aca="false">IF(DAY(B49)=1,-(Premissas!$B$38+Premissas!$B$59*Premissas!$B$60),0)</f>
        <v>0</v>
      </c>
      <c r="R49" s="12" t="n">
        <f aca="false">E49+F49+SUM(I49:Q49)</f>
        <v>0</v>
      </c>
      <c r="S49" s="12" t="n">
        <f aca="false">S48+R49</f>
        <v>1351.3582628</v>
      </c>
      <c r="T49" s="15" t="n">
        <f aca="false">IF(AND($A49&gt;$B$100,S49&gt;=0),1,0)</f>
        <v>1</v>
      </c>
      <c r="U49" s="12" t="n">
        <f aca="false">S49-SUM($E$5:E49)-(1+Premissas!$B$14)*SUM($C$5:C49)</f>
        <v>1283.0602628</v>
      </c>
      <c r="V49" s="12" t="n">
        <f aca="false">C49/Premissas!$B$15*Premissas!$B$17+(G49+H49)*Premissas!$B$18</f>
        <v>0</v>
      </c>
      <c r="W49" s="15" t="n">
        <f aca="false">IF(V49&gt;0,DATE(YEAR(B49),MONTH(B49)+1,1)-Premissas!$B$11+1,0)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46352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IF(C50&gt;0,IF(DAY(B50)&lt;=Premissas!$B$12,DATE(YEAR(B50),MONTH(B50),Premissas!$B$13),DATE(YEAR(B50),MONTH(B50)+1,Premissas!$B$13))-Premissas!$B$11+1,0)</f>
        <v>0</v>
      </c>
      <c r="E50" s="12" t="n">
        <f aca="false">-SUMIF($D$5:$D$94,A50,$C$5:$C$94)*(1+Premissas!$B$14)</f>
        <v>-0</v>
      </c>
      <c r="F50" s="12" t="n">
        <f aca="false">-SUMIF($W$5:$W$94,A50,$V$5:$V$94)</f>
        <v>-0</v>
      </c>
      <c r="G50" s="29" t="n">
        <f aca="false">C50/Premissas!$B$15*Premissas!$B$16*Premissas!$B$20</f>
        <v>0</v>
      </c>
      <c r="H50" s="29" t="n">
        <f aca="false">C50/Premissas!$B$15*Premissas!$B$16*Premissas!$B$21</f>
        <v>0</v>
      </c>
      <c r="I50" s="12" t="n">
        <f aca="false">-G50*(Premissas!$B$54*Unitário!$B$22+Premissas!$B$55*Unitário!$B$23)</f>
        <v>-0</v>
      </c>
      <c r="J50" s="12" t="n">
        <f aca="false">IF($A50-(Premissas!$B$49)&gt;=1,INDEX($G$5:$G$94,$A50-(Premissas!$B$49)),0)*Premissas!$B$23*((Premissas!$B$54*Unitário!$B$22+Premissas!$B$55*Unitário!$B$23)-Premissas!$B$35)</f>
        <v>0</v>
      </c>
      <c r="K50" s="12" t="n">
        <f aca="false">IF($A50-(Premissas!$B$49+Premissas!$B$52)&gt;=1,INDEX($G$5:$G$94,$A50-(Premissas!$B$49+Premissas!$B$52)),0)*Premissas!$B$24*((Premissas!$B$54*Unitário!$B$22+Premissas!$B$55*Unitário!$B$23)-Premissas!$B$36)</f>
        <v>0</v>
      </c>
      <c r="L50" s="12" t="n">
        <f aca="false">IF($A50-(Premissas!$B$49+Premissas!$B$50)&gt;=1,INDEX($G$5:$G$94,$A50-(Premissas!$B$49+Premissas!$B$50)),0)*Unitário!$B$21*(Premissas!$B$46-(1-Premissas!$B$55)*Unitário!$B$23-(1-Premissas!$B$54)*Unitário!$B$22)</f>
        <v>0</v>
      </c>
      <c r="M50" s="12" t="n">
        <f aca="false">IF($A50-(Premissas!$B$51)&gt;=1,INDEX($H$5:$H$94,$A50-(Premissas!$B$51)),0)*(Premissas!$B$47-Unitário!$B$25)</f>
        <v>0</v>
      </c>
      <c r="N50" s="12" t="n">
        <f aca="false">-H50*(Premissas!$B$54*Unitário!$B$22+Premissas!$B$28)</f>
        <v>-0</v>
      </c>
      <c r="O50" s="12" t="n">
        <f aca="false">IF($A50-(Premissas!$B$49+Premissas!$B$52)&gt;=1,INDEX($H$5:$H$94,$A50-(Premissas!$B$49+Premissas!$B$52)),0)*Premissas!$B$24*(-Premissas!$B$47-Premissas!$B$36+Premissas!$B$28+Premissas!$B$54*Unitário!$B$22)</f>
        <v>-0</v>
      </c>
      <c r="P50" s="12" t="n">
        <f aca="false">-Premissas!$B$37*(IF($A50-(Premissas!$B$49+Premissas!$B$50)&gt;=1,INDEX($G$5:$G$94,$A50-(Premissas!$B$49+Premissas!$B$50)),0)*Unitário!$B$21*Premissas!$B$46+IF($A50-(Premissas!$B$51)&gt;=1,INDEX($H$5:$H$94,$A50-(Premissas!$B$51)),0)*(1-Premissas!$B$24)*Premissas!$B$47)</f>
        <v>-0</v>
      </c>
      <c r="Q50" s="12" t="n">
        <f aca="false">IF(DAY(B50)=1,-(Premissas!$B$38+Premissas!$B$59*Premissas!$B$60),0)</f>
        <v>0</v>
      </c>
      <c r="R50" s="12" t="n">
        <f aca="false">E50+F50+SUM(I50:Q50)</f>
        <v>0</v>
      </c>
      <c r="S50" s="12" t="n">
        <f aca="false">S49+R50</f>
        <v>1351.3582628</v>
      </c>
      <c r="T50" s="15" t="n">
        <f aca="false">IF(AND($A50&gt;$B$100,S50&gt;=0),1,0)</f>
        <v>1</v>
      </c>
      <c r="U50" s="12" t="n">
        <f aca="false">S50-SUM($E$5:E50)-(1+Premissas!$B$14)*SUM($C$5:C50)</f>
        <v>1283.0602628</v>
      </c>
      <c r="V50" s="12" t="n">
        <f aca="false">C50/Premissas!$B$15*Premissas!$B$17+(G50+H50)*Premissas!$B$18</f>
        <v>0</v>
      </c>
      <c r="W50" s="15" t="n">
        <f aca="false">IF(V50&gt;0,DATE(YEAR(B50),MONTH(B50)+1,1)-Premissas!$B$11+1,0)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46353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IF(C51&gt;0,IF(DAY(B51)&lt;=Premissas!$B$12,DATE(YEAR(B51),MONTH(B51),Premissas!$B$13),DATE(YEAR(B51),MONTH(B51)+1,Premissas!$B$13))-Premissas!$B$11+1,0)</f>
        <v>0</v>
      </c>
      <c r="E51" s="12" t="n">
        <f aca="false">-SUMIF($D$5:$D$94,A51,$C$5:$C$94)*(1+Premissas!$B$14)</f>
        <v>-0</v>
      </c>
      <c r="F51" s="12" t="n">
        <f aca="false">-SUMIF($W$5:$W$94,A51,$V$5:$V$94)</f>
        <v>-0</v>
      </c>
      <c r="G51" s="29" t="n">
        <f aca="false">C51/Premissas!$B$15*Premissas!$B$16*Premissas!$B$20</f>
        <v>0</v>
      </c>
      <c r="H51" s="29" t="n">
        <f aca="false">C51/Premissas!$B$15*Premissas!$B$16*Premissas!$B$21</f>
        <v>0</v>
      </c>
      <c r="I51" s="12" t="n">
        <f aca="false">-G51*(Premissas!$B$54*Unitário!$B$22+Premissas!$B$55*Unitário!$B$23)</f>
        <v>-0</v>
      </c>
      <c r="J51" s="12" t="n">
        <f aca="false">IF($A51-(Premissas!$B$49)&gt;=1,INDEX($G$5:$G$94,$A51-(Premissas!$B$49)),0)*Premissas!$B$23*((Premissas!$B$54*Unitário!$B$22+Premissas!$B$55*Unitário!$B$23)-Premissas!$B$35)</f>
        <v>0</v>
      </c>
      <c r="K51" s="12" t="n">
        <f aca="false">IF($A51-(Premissas!$B$49+Premissas!$B$52)&gt;=1,INDEX($G$5:$G$94,$A51-(Premissas!$B$49+Premissas!$B$52)),0)*Premissas!$B$24*((Premissas!$B$54*Unitário!$B$22+Premissas!$B$55*Unitário!$B$23)-Premissas!$B$36)</f>
        <v>0</v>
      </c>
      <c r="L51" s="12" t="n">
        <f aca="false">IF($A51-(Premissas!$B$49+Premissas!$B$50)&gt;=1,INDEX($G$5:$G$94,$A51-(Premissas!$B$49+Premissas!$B$50)),0)*Unitário!$B$21*(Premissas!$B$46-(1-Premissas!$B$55)*Unitário!$B$23-(1-Premissas!$B$54)*Unitário!$B$22)</f>
        <v>0</v>
      </c>
      <c r="M51" s="12" t="n">
        <f aca="false">IF($A51-(Premissas!$B$51)&gt;=1,INDEX($H$5:$H$94,$A51-(Premissas!$B$51)),0)*(Premissas!$B$47-Unitário!$B$25)</f>
        <v>0</v>
      </c>
      <c r="N51" s="12" t="n">
        <f aca="false">-H51*(Premissas!$B$54*Unitário!$B$22+Premissas!$B$28)</f>
        <v>-0</v>
      </c>
      <c r="O51" s="12" t="n">
        <f aca="false">IF($A51-(Premissas!$B$49+Premissas!$B$52)&gt;=1,INDEX($H$5:$H$94,$A51-(Premissas!$B$49+Premissas!$B$52)),0)*Premissas!$B$24*(-Premissas!$B$47-Premissas!$B$36+Premissas!$B$28+Premissas!$B$54*Unitário!$B$22)</f>
        <v>-0</v>
      </c>
      <c r="P51" s="12" t="n">
        <f aca="false">-Premissas!$B$37*(IF($A51-(Premissas!$B$49+Premissas!$B$50)&gt;=1,INDEX($G$5:$G$94,$A51-(Premissas!$B$49+Premissas!$B$50)),0)*Unitário!$B$21*Premissas!$B$46+IF($A51-(Premissas!$B$51)&gt;=1,INDEX($H$5:$H$94,$A51-(Premissas!$B$51)),0)*(1-Premissas!$B$24)*Premissas!$B$47)</f>
        <v>-0</v>
      </c>
      <c r="Q51" s="12" t="n">
        <f aca="false">IF(DAY(B51)=1,-(Premissas!$B$38+Premissas!$B$59*Premissas!$B$60),0)</f>
        <v>0</v>
      </c>
      <c r="R51" s="12" t="n">
        <f aca="false">E51+F51+SUM(I51:Q51)</f>
        <v>0</v>
      </c>
      <c r="S51" s="12" t="n">
        <f aca="false">S50+R51</f>
        <v>1351.3582628</v>
      </c>
      <c r="T51" s="15" t="n">
        <f aca="false">IF(AND($A51&gt;$B$100,S51&gt;=0),1,0)</f>
        <v>1</v>
      </c>
      <c r="U51" s="12" t="n">
        <f aca="false">S51-SUM($E$5:E51)-(1+Premissas!$B$14)*SUM($C$5:C51)</f>
        <v>1283.0602628</v>
      </c>
      <c r="V51" s="12" t="n">
        <f aca="false">C51/Premissas!$B$15*Premissas!$B$17+(G51+H51)*Premissas!$B$18</f>
        <v>0</v>
      </c>
      <c r="W51" s="15" t="n">
        <f aca="false">IF(V51&gt;0,DATE(YEAR(B51),MONTH(B51)+1,1)-Premissas!$B$11+1,0)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46354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IF(C52&gt;0,IF(DAY(B52)&lt;=Premissas!$B$12,DATE(YEAR(B52),MONTH(B52),Premissas!$B$13),DATE(YEAR(B52),MONTH(B52)+1,Premissas!$B$13))-Premissas!$B$11+1,0)</f>
        <v>0</v>
      </c>
      <c r="E52" s="12" t="n">
        <f aca="false">-SUMIF($D$5:$D$94,A52,$C$5:$C$94)*(1+Premissas!$B$14)</f>
        <v>-0</v>
      </c>
      <c r="F52" s="12" t="n">
        <f aca="false">-SUMIF($W$5:$W$94,A52,$V$5:$V$94)</f>
        <v>-0</v>
      </c>
      <c r="G52" s="29" t="n">
        <f aca="false">C52/Premissas!$B$15*Premissas!$B$16*Premissas!$B$20</f>
        <v>0</v>
      </c>
      <c r="H52" s="29" t="n">
        <f aca="false">C52/Premissas!$B$15*Premissas!$B$16*Premissas!$B$21</f>
        <v>0</v>
      </c>
      <c r="I52" s="12" t="n">
        <f aca="false">-G52*(Premissas!$B$54*Unitário!$B$22+Premissas!$B$55*Unitário!$B$23)</f>
        <v>-0</v>
      </c>
      <c r="J52" s="12" t="n">
        <f aca="false">IF($A52-(Premissas!$B$49)&gt;=1,INDEX($G$5:$G$94,$A52-(Premissas!$B$49)),0)*Premissas!$B$23*((Premissas!$B$54*Unitário!$B$22+Premissas!$B$55*Unitário!$B$23)-Premissas!$B$35)</f>
        <v>0</v>
      </c>
      <c r="K52" s="12" t="n">
        <f aca="false">IF($A52-(Premissas!$B$49+Premissas!$B$52)&gt;=1,INDEX($G$5:$G$94,$A52-(Premissas!$B$49+Premissas!$B$52)),0)*Premissas!$B$24*((Premissas!$B$54*Unitário!$B$22+Premissas!$B$55*Unitário!$B$23)-Premissas!$B$36)</f>
        <v>0</v>
      </c>
      <c r="L52" s="12" t="n">
        <f aca="false">IF($A52-(Premissas!$B$49+Premissas!$B$50)&gt;=1,INDEX($G$5:$G$94,$A52-(Premissas!$B$49+Premissas!$B$50)),0)*Unitário!$B$21*(Premissas!$B$46-(1-Premissas!$B$55)*Unitário!$B$23-(1-Premissas!$B$54)*Unitário!$B$22)</f>
        <v>0</v>
      </c>
      <c r="M52" s="12" t="n">
        <f aca="false">IF($A52-(Premissas!$B$51)&gt;=1,INDEX($H$5:$H$94,$A52-(Premissas!$B$51)),0)*(Premissas!$B$47-Unitário!$B$25)</f>
        <v>0</v>
      </c>
      <c r="N52" s="12" t="n">
        <f aca="false">-H52*(Premissas!$B$54*Unitário!$B$22+Premissas!$B$28)</f>
        <v>-0</v>
      </c>
      <c r="O52" s="12" t="n">
        <f aca="false">IF($A52-(Premissas!$B$49+Premissas!$B$52)&gt;=1,INDEX($H$5:$H$94,$A52-(Premissas!$B$49+Premissas!$B$52)),0)*Premissas!$B$24*(-Premissas!$B$47-Premissas!$B$36+Premissas!$B$28+Premissas!$B$54*Unitário!$B$22)</f>
        <v>-0</v>
      </c>
      <c r="P52" s="12" t="n">
        <f aca="false">-Premissas!$B$37*(IF($A52-(Premissas!$B$49+Premissas!$B$50)&gt;=1,INDEX($G$5:$G$94,$A52-(Premissas!$B$49+Premissas!$B$50)),0)*Unitário!$B$21*Premissas!$B$46+IF($A52-(Premissas!$B$51)&gt;=1,INDEX($H$5:$H$94,$A52-(Premissas!$B$51)),0)*(1-Premissas!$B$24)*Premissas!$B$47)</f>
        <v>-0</v>
      </c>
      <c r="Q52" s="12" t="n">
        <f aca="false">IF(DAY(B52)=1,-(Premissas!$B$38+Premissas!$B$59*Premissas!$B$60),0)</f>
        <v>0</v>
      </c>
      <c r="R52" s="12" t="n">
        <f aca="false">E52+F52+SUM(I52:Q52)</f>
        <v>0</v>
      </c>
      <c r="S52" s="12" t="n">
        <f aca="false">S51+R52</f>
        <v>1351.3582628</v>
      </c>
      <c r="T52" s="15" t="n">
        <f aca="false">IF(AND($A52&gt;$B$100,S52&gt;=0),1,0)</f>
        <v>1</v>
      </c>
      <c r="U52" s="12" t="n">
        <f aca="false">S52-SUM($E$5:E52)-(1+Premissas!$B$14)*SUM($C$5:C52)</f>
        <v>1283.0602628</v>
      </c>
      <c r="V52" s="12" t="n">
        <f aca="false">C52/Premissas!$B$15*Premissas!$B$17+(G52+H52)*Premissas!$B$18</f>
        <v>0</v>
      </c>
      <c r="W52" s="15" t="n">
        <f aca="false">IF(V52&gt;0,DATE(YEAR(B52),MONTH(B52)+1,1)-Premissas!$B$11+1,0)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46355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IF(C53&gt;0,IF(DAY(B53)&lt;=Premissas!$B$12,DATE(YEAR(B53),MONTH(B53),Premissas!$B$13),DATE(YEAR(B53),MONTH(B53)+1,Premissas!$B$13))-Premissas!$B$11+1,0)</f>
        <v>0</v>
      </c>
      <c r="E53" s="12" t="n">
        <f aca="false">-SUMIF($D$5:$D$94,A53,$C$5:$C$94)*(1+Premissas!$B$14)</f>
        <v>-68.298</v>
      </c>
      <c r="F53" s="12" t="n">
        <f aca="false">-SUMIF($W$5:$W$94,A53,$V$5:$V$94)</f>
        <v>-0</v>
      </c>
      <c r="G53" s="29" t="n">
        <f aca="false">C53/Premissas!$B$15*Premissas!$B$16*Premissas!$B$20</f>
        <v>0</v>
      </c>
      <c r="H53" s="29" t="n">
        <f aca="false">C53/Premissas!$B$15*Premissas!$B$16*Premissas!$B$21</f>
        <v>0</v>
      </c>
      <c r="I53" s="12" t="n">
        <f aca="false">-G53*(Premissas!$B$54*Unitário!$B$22+Premissas!$B$55*Unitário!$B$23)</f>
        <v>-0</v>
      </c>
      <c r="J53" s="12" t="n">
        <f aca="false">IF($A53-(Premissas!$B$49)&gt;=1,INDEX($G$5:$G$94,$A53-(Premissas!$B$49)),0)*Premissas!$B$23*((Premissas!$B$54*Unitário!$B$22+Premissas!$B$55*Unitário!$B$23)-Premissas!$B$35)</f>
        <v>0</v>
      </c>
      <c r="K53" s="12" t="n">
        <f aca="false">IF($A53-(Premissas!$B$49+Premissas!$B$52)&gt;=1,INDEX($G$5:$G$94,$A53-(Premissas!$B$49+Premissas!$B$52)),0)*Premissas!$B$24*((Premissas!$B$54*Unitário!$B$22+Premissas!$B$55*Unitário!$B$23)-Premissas!$B$36)</f>
        <v>0</v>
      </c>
      <c r="L53" s="12" t="n">
        <f aca="false">IF($A53-(Premissas!$B$49+Premissas!$B$50)&gt;=1,INDEX($G$5:$G$94,$A53-(Premissas!$B$49+Premissas!$B$50)),0)*Unitário!$B$21*(Premissas!$B$46-(1-Premissas!$B$55)*Unitário!$B$23-(1-Premissas!$B$54)*Unitário!$B$22)</f>
        <v>0</v>
      </c>
      <c r="M53" s="12" t="n">
        <f aca="false">IF($A53-(Premissas!$B$51)&gt;=1,INDEX($H$5:$H$94,$A53-(Premissas!$B$51)),0)*(Premissas!$B$47-Unitário!$B$25)</f>
        <v>0</v>
      </c>
      <c r="N53" s="12" t="n">
        <f aca="false">-H53*(Premissas!$B$54*Unitário!$B$22+Premissas!$B$28)</f>
        <v>-0</v>
      </c>
      <c r="O53" s="12" t="n">
        <f aca="false">IF($A53-(Premissas!$B$49+Premissas!$B$52)&gt;=1,INDEX($H$5:$H$94,$A53-(Premissas!$B$49+Premissas!$B$52)),0)*Premissas!$B$24*(-Premissas!$B$47-Premissas!$B$36+Premissas!$B$28+Premissas!$B$54*Unitário!$B$22)</f>
        <v>-0</v>
      </c>
      <c r="P53" s="12" t="n">
        <f aca="false">-Premissas!$B$37*(IF($A53-(Premissas!$B$49+Premissas!$B$50)&gt;=1,INDEX($G$5:$G$94,$A53-(Premissas!$B$49+Premissas!$B$50)),0)*Unitário!$B$21*Premissas!$B$46+IF($A53-(Premissas!$B$51)&gt;=1,INDEX($H$5:$H$94,$A53-(Premissas!$B$51)),0)*(1-Premissas!$B$24)*Premissas!$B$47)</f>
        <v>-0</v>
      </c>
      <c r="Q53" s="12" t="n">
        <f aca="false">IF(DAY(B53)=1,-(Premissas!$B$38+Premissas!$B$59*Premissas!$B$60),0)</f>
        <v>0</v>
      </c>
      <c r="R53" s="12" t="n">
        <f aca="false">E53+F53+SUM(I53:Q53)</f>
        <v>-68.298</v>
      </c>
      <c r="S53" s="12" t="n">
        <f aca="false">S52+R53</f>
        <v>1283.0602628</v>
      </c>
      <c r="T53" s="15" t="n">
        <f aca="false">IF(AND($A53&gt;$B$100,S53&gt;=0),1,0)</f>
        <v>1</v>
      </c>
      <c r="U53" s="12" t="n">
        <f aca="false">S53-SUM($E$5:E53)-(1+Premissas!$B$14)*SUM($C$5:C53)</f>
        <v>1283.0602628</v>
      </c>
      <c r="V53" s="12" t="n">
        <f aca="false">C53/Premissas!$B$15*Premissas!$B$17+(G53+H53)*Premissas!$B$18</f>
        <v>0</v>
      </c>
      <c r="W53" s="15" t="n">
        <f aca="false">IF(V53&gt;0,DATE(YEAR(B53),MONTH(B53)+1,1)-Premissas!$B$11+1,0)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46356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IF(C54&gt;0,IF(DAY(B54)&lt;=Premissas!$B$12,DATE(YEAR(B54),MONTH(B54),Premissas!$B$13),DATE(YEAR(B54),MONTH(B54)+1,Premissas!$B$13))-Premissas!$B$11+1,0)</f>
        <v>0</v>
      </c>
      <c r="E54" s="12" t="n">
        <f aca="false">-SUMIF($D$5:$D$94,A54,$C$5:$C$94)*(1+Premissas!$B$14)</f>
        <v>-0</v>
      </c>
      <c r="F54" s="12" t="n">
        <f aca="false">-SUMIF($W$5:$W$94,A54,$V$5:$V$94)</f>
        <v>-0</v>
      </c>
      <c r="G54" s="29" t="n">
        <f aca="false">C54/Premissas!$B$15*Premissas!$B$16*Premissas!$B$20</f>
        <v>0</v>
      </c>
      <c r="H54" s="29" t="n">
        <f aca="false">C54/Premissas!$B$15*Premissas!$B$16*Premissas!$B$21</f>
        <v>0</v>
      </c>
      <c r="I54" s="12" t="n">
        <f aca="false">-G54*(Premissas!$B$54*Unitário!$B$22+Premissas!$B$55*Unitário!$B$23)</f>
        <v>-0</v>
      </c>
      <c r="J54" s="12" t="n">
        <f aca="false">IF($A54-(Premissas!$B$49)&gt;=1,INDEX($G$5:$G$94,$A54-(Premissas!$B$49)),0)*Premissas!$B$23*((Premissas!$B$54*Unitário!$B$22+Premissas!$B$55*Unitário!$B$23)-Premissas!$B$35)</f>
        <v>0</v>
      </c>
      <c r="K54" s="12" t="n">
        <f aca="false">IF($A54-(Premissas!$B$49+Premissas!$B$52)&gt;=1,INDEX($G$5:$G$94,$A54-(Premissas!$B$49+Premissas!$B$52)),0)*Premissas!$B$24*((Premissas!$B$54*Unitário!$B$22+Premissas!$B$55*Unitário!$B$23)-Premissas!$B$36)</f>
        <v>0</v>
      </c>
      <c r="L54" s="12" t="n">
        <f aca="false">IF($A54-(Premissas!$B$49+Premissas!$B$50)&gt;=1,INDEX($G$5:$G$94,$A54-(Premissas!$B$49+Premissas!$B$50)),0)*Unitário!$B$21*(Premissas!$B$46-(1-Premissas!$B$55)*Unitário!$B$23-(1-Premissas!$B$54)*Unitário!$B$22)</f>
        <v>0</v>
      </c>
      <c r="M54" s="12" t="n">
        <f aca="false">IF($A54-(Premissas!$B$51)&gt;=1,INDEX($H$5:$H$94,$A54-(Premissas!$B$51)),0)*(Premissas!$B$47-Unitário!$B$25)</f>
        <v>0</v>
      </c>
      <c r="N54" s="12" t="n">
        <f aca="false">-H54*(Premissas!$B$54*Unitário!$B$22+Premissas!$B$28)</f>
        <v>-0</v>
      </c>
      <c r="O54" s="12" t="n">
        <f aca="false">IF($A54-(Premissas!$B$49+Premissas!$B$52)&gt;=1,INDEX($H$5:$H$94,$A54-(Premissas!$B$49+Premissas!$B$52)),0)*Premissas!$B$24*(-Premissas!$B$47-Premissas!$B$36+Premissas!$B$28+Premissas!$B$54*Unitário!$B$22)</f>
        <v>-0</v>
      </c>
      <c r="P54" s="12" t="n">
        <f aca="false">-Premissas!$B$37*(IF($A54-(Premissas!$B$49+Premissas!$B$50)&gt;=1,INDEX($G$5:$G$94,$A54-(Premissas!$B$49+Premissas!$B$50)),0)*Unitário!$B$21*Premissas!$B$46+IF($A54-(Premissas!$B$51)&gt;=1,INDEX($H$5:$H$94,$A54-(Premissas!$B$51)),0)*(1-Premissas!$B$24)*Premissas!$B$47)</f>
        <v>-0</v>
      </c>
      <c r="Q54" s="12" t="n">
        <f aca="false">IF(DAY(B54)=1,-(Premissas!$B$38+Premissas!$B$59*Premissas!$B$60),0)</f>
        <v>0</v>
      </c>
      <c r="R54" s="12" t="n">
        <f aca="false">E54+F54+SUM(I54:Q54)</f>
        <v>0</v>
      </c>
      <c r="S54" s="12" t="n">
        <f aca="false">S53+R54</f>
        <v>1283.0602628</v>
      </c>
      <c r="T54" s="15" t="n">
        <f aca="false">IF(AND($A54&gt;$B$100,S54&gt;=0),1,0)</f>
        <v>1</v>
      </c>
      <c r="U54" s="12" t="n">
        <f aca="false">S54-SUM($E$5:E54)-(1+Premissas!$B$14)*SUM($C$5:C54)</f>
        <v>1283.0602628</v>
      </c>
      <c r="V54" s="12" t="n">
        <f aca="false">C54/Premissas!$B$15*Premissas!$B$17+(G54+H54)*Premissas!$B$18</f>
        <v>0</v>
      </c>
      <c r="W54" s="15" t="n">
        <f aca="false">IF(V54&gt;0,DATE(YEAR(B54),MONTH(B54)+1,1)-Premissas!$B$11+1,0)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46357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IF(C55&gt;0,IF(DAY(B55)&lt;=Premissas!$B$12,DATE(YEAR(B55),MONTH(B55),Premissas!$B$13),DATE(YEAR(B55),MONTH(B55)+1,Premissas!$B$13))-Premissas!$B$11+1,0)</f>
        <v>0</v>
      </c>
      <c r="E55" s="12" t="n">
        <f aca="false">-SUMIF($D$5:$D$94,A55,$C$5:$C$94)*(1+Premissas!$B$14)</f>
        <v>-0</v>
      </c>
      <c r="F55" s="12" t="n">
        <f aca="false">-SUMIF($W$5:$W$94,A55,$V$5:$V$94)</f>
        <v>-0</v>
      </c>
      <c r="G55" s="29" t="n">
        <f aca="false">C55/Premissas!$B$15*Premissas!$B$16*Premissas!$B$20</f>
        <v>0</v>
      </c>
      <c r="H55" s="29" t="n">
        <f aca="false">C55/Premissas!$B$15*Premissas!$B$16*Premissas!$B$21</f>
        <v>0</v>
      </c>
      <c r="I55" s="12" t="n">
        <f aca="false">-G55*(Premissas!$B$54*Unitário!$B$22+Premissas!$B$55*Unitário!$B$23)</f>
        <v>-0</v>
      </c>
      <c r="J55" s="12" t="n">
        <f aca="false">IF($A55-(Premissas!$B$49)&gt;=1,INDEX($G$5:$G$94,$A55-(Premissas!$B$49)),0)*Premissas!$B$23*((Premissas!$B$54*Unitário!$B$22+Premissas!$B$55*Unitário!$B$23)-Premissas!$B$35)</f>
        <v>0</v>
      </c>
      <c r="K55" s="12" t="n">
        <f aca="false">IF($A55-(Premissas!$B$49+Premissas!$B$52)&gt;=1,INDEX($G$5:$G$94,$A55-(Premissas!$B$49+Premissas!$B$52)),0)*Premissas!$B$24*((Premissas!$B$54*Unitário!$B$22+Premissas!$B$55*Unitário!$B$23)-Premissas!$B$36)</f>
        <v>0</v>
      </c>
      <c r="L55" s="12" t="n">
        <f aca="false">IF($A55-(Premissas!$B$49+Premissas!$B$50)&gt;=1,INDEX($G$5:$G$94,$A55-(Premissas!$B$49+Premissas!$B$50)),0)*Unitário!$B$21*(Premissas!$B$46-(1-Premissas!$B$55)*Unitário!$B$23-(1-Premissas!$B$54)*Unitário!$B$22)</f>
        <v>0</v>
      </c>
      <c r="M55" s="12" t="n">
        <f aca="false">IF($A55-(Premissas!$B$51)&gt;=1,INDEX($H$5:$H$94,$A55-(Premissas!$B$51)),0)*(Premissas!$B$47-Unitário!$B$25)</f>
        <v>0</v>
      </c>
      <c r="N55" s="12" t="n">
        <f aca="false">-H55*(Premissas!$B$54*Unitário!$B$22+Premissas!$B$28)</f>
        <v>-0</v>
      </c>
      <c r="O55" s="12" t="n">
        <f aca="false">IF($A55-(Premissas!$B$49+Premissas!$B$52)&gt;=1,INDEX($H$5:$H$94,$A55-(Premissas!$B$49+Premissas!$B$52)),0)*Premissas!$B$24*(-Premissas!$B$47-Premissas!$B$36+Premissas!$B$28+Premissas!$B$54*Unitário!$B$22)</f>
        <v>-0</v>
      </c>
      <c r="P55" s="12" t="n">
        <f aca="false">-Premissas!$B$37*(IF($A55-(Premissas!$B$49+Premissas!$B$50)&gt;=1,INDEX($G$5:$G$94,$A55-(Premissas!$B$49+Premissas!$B$50)),0)*Unitário!$B$21*Premissas!$B$46+IF($A55-(Premissas!$B$51)&gt;=1,INDEX($H$5:$H$94,$A55-(Premissas!$B$51)),0)*(1-Premissas!$B$24)*Premissas!$B$47)</f>
        <v>-0</v>
      </c>
      <c r="Q55" s="12" t="n">
        <f aca="false">IF(DAY(B55)=1,-(Premissas!$B$38+Premissas!$B$59*Premissas!$B$60),0)</f>
        <v>-57.49</v>
      </c>
      <c r="R55" s="12" t="n">
        <f aca="false">E55+F55+SUM(I55:Q55)</f>
        <v>-57.49</v>
      </c>
      <c r="S55" s="12" t="n">
        <f aca="false">S54+R55</f>
        <v>1225.5702628</v>
      </c>
      <c r="T55" s="15" t="n">
        <f aca="false">IF(AND($A55&gt;$B$100,S55&gt;=0),1,0)</f>
        <v>1</v>
      </c>
      <c r="U55" s="12" t="n">
        <f aca="false">S55-SUM($E$5:E55)-(1+Premissas!$B$14)*SUM($C$5:C55)</f>
        <v>1225.5702628</v>
      </c>
      <c r="V55" s="12" t="n">
        <f aca="false">C55/Premissas!$B$15*Premissas!$B$17+(G55+H55)*Premissas!$B$18</f>
        <v>0</v>
      </c>
      <c r="W55" s="15" t="n">
        <f aca="false">IF(V55&gt;0,DATE(YEAR(B55),MONTH(B55)+1,1)-Premissas!$B$11+1,0)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46358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IF(C56&gt;0,IF(DAY(B56)&lt;=Premissas!$B$12,DATE(YEAR(B56),MONTH(B56),Premissas!$B$13),DATE(YEAR(B56),MONTH(B56)+1,Premissas!$B$13))-Premissas!$B$11+1,0)</f>
        <v>0</v>
      </c>
      <c r="E56" s="12" t="n">
        <f aca="false">-SUMIF($D$5:$D$94,A56,$C$5:$C$94)*(1+Premissas!$B$14)</f>
        <v>-0</v>
      </c>
      <c r="F56" s="12" t="n">
        <f aca="false">-SUMIF($W$5:$W$94,A56,$V$5:$V$94)</f>
        <v>-0</v>
      </c>
      <c r="G56" s="29" t="n">
        <f aca="false">C56/Premissas!$B$15*Premissas!$B$16*Premissas!$B$20</f>
        <v>0</v>
      </c>
      <c r="H56" s="29" t="n">
        <f aca="false">C56/Premissas!$B$15*Premissas!$B$16*Premissas!$B$21</f>
        <v>0</v>
      </c>
      <c r="I56" s="12" t="n">
        <f aca="false">-G56*(Premissas!$B$54*Unitário!$B$22+Premissas!$B$55*Unitário!$B$23)</f>
        <v>-0</v>
      </c>
      <c r="J56" s="12" t="n">
        <f aca="false">IF($A56-(Premissas!$B$49)&gt;=1,INDEX($G$5:$G$94,$A56-(Premissas!$B$49)),0)*Premissas!$B$23*((Premissas!$B$54*Unitário!$B$22+Premissas!$B$55*Unitário!$B$23)-Premissas!$B$35)</f>
        <v>0</v>
      </c>
      <c r="K56" s="12" t="n">
        <f aca="false">IF($A56-(Premissas!$B$49+Premissas!$B$52)&gt;=1,INDEX($G$5:$G$94,$A56-(Premissas!$B$49+Premissas!$B$52)),0)*Premissas!$B$24*((Premissas!$B$54*Unitário!$B$22+Premissas!$B$55*Unitário!$B$23)-Premissas!$B$36)</f>
        <v>0</v>
      </c>
      <c r="L56" s="12" t="n">
        <f aca="false">IF($A56-(Premissas!$B$49+Premissas!$B$50)&gt;=1,INDEX($G$5:$G$94,$A56-(Premissas!$B$49+Premissas!$B$50)),0)*Unitário!$B$21*(Premissas!$B$46-(1-Premissas!$B$55)*Unitário!$B$23-(1-Premissas!$B$54)*Unitário!$B$22)</f>
        <v>0</v>
      </c>
      <c r="M56" s="12" t="n">
        <f aca="false">IF($A56-(Premissas!$B$51)&gt;=1,INDEX($H$5:$H$94,$A56-(Premissas!$B$51)),0)*(Premissas!$B$47-Unitário!$B$25)</f>
        <v>0</v>
      </c>
      <c r="N56" s="12" t="n">
        <f aca="false">-H56*(Premissas!$B$54*Unitário!$B$22+Premissas!$B$28)</f>
        <v>-0</v>
      </c>
      <c r="O56" s="12" t="n">
        <f aca="false">IF($A56-(Premissas!$B$49+Premissas!$B$52)&gt;=1,INDEX($H$5:$H$94,$A56-(Premissas!$B$49+Premissas!$B$52)),0)*Premissas!$B$24*(-Premissas!$B$47-Premissas!$B$36+Premissas!$B$28+Premissas!$B$54*Unitário!$B$22)</f>
        <v>-0</v>
      </c>
      <c r="P56" s="12" t="n">
        <f aca="false">-Premissas!$B$37*(IF($A56-(Premissas!$B$49+Premissas!$B$50)&gt;=1,INDEX($G$5:$G$94,$A56-(Premissas!$B$49+Premissas!$B$50)),0)*Unitário!$B$21*Premissas!$B$46+IF($A56-(Premissas!$B$51)&gt;=1,INDEX($H$5:$H$94,$A56-(Premissas!$B$51)),0)*(1-Premissas!$B$24)*Premissas!$B$47)</f>
        <v>-0</v>
      </c>
      <c r="Q56" s="12" t="n">
        <f aca="false">IF(DAY(B56)=1,-(Premissas!$B$38+Premissas!$B$59*Premissas!$B$60),0)</f>
        <v>0</v>
      </c>
      <c r="R56" s="12" t="n">
        <f aca="false">E56+F56+SUM(I56:Q56)</f>
        <v>0</v>
      </c>
      <c r="S56" s="12" t="n">
        <f aca="false">S55+R56</f>
        <v>1225.5702628</v>
      </c>
      <c r="T56" s="15" t="n">
        <f aca="false">IF(AND($A56&gt;$B$100,S56&gt;=0),1,0)</f>
        <v>1</v>
      </c>
      <c r="U56" s="12" t="n">
        <f aca="false">S56-SUM($E$5:E56)-(1+Premissas!$B$14)*SUM($C$5:C56)</f>
        <v>1225.5702628</v>
      </c>
      <c r="V56" s="12" t="n">
        <f aca="false">C56/Premissas!$B$15*Premissas!$B$17+(G56+H56)*Premissas!$B$18</f>
        <v>0</v>
      </c>
      <c r="W56" s="15" t="n">
        <f aca="false">IF(V56&gt;0,DATE(YEAR(B56),MONTH(B56)+1,1)-Premissas!$B$11+1,0)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46359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IF(C57&gt;0,IF(DAY(B57)&lt;=Premissas!$B$12,DATE(YEAR(B57),MONTH(B57),Premissas!$B$13),DATE(YEAR(B57),MONTH(B57)+1,Premissas!$B$13))-Premissas!$B$11+1,0)</f>
        <v>0</v>
      </c>
      <c r="E57" s="12" t="n">
        <f aca="false">-SUMIF($D$5:$D$94,A57,$C$5:$C$94)*(1+Premissas!$B$14)</f>
        <v>-0</v>
      </c>
      <c r="F57" s="12" t="n">
        <f aca="false">-SUMIF($W$5:$W$94,A57,$V$5:$V$94)</f>
        <v>-0</v>
      </c>
      <c r="G57" s="29" t="n">
        <f aca="false">C57/Premissas!$B$15*Premissas!$B$16*Premissas!$B$20</f>
        <v>0</v>
      </c>
      <c r="H57" s="29" t="n">
        <f aca="false">C57/Premissas!$B$15*Premissas!$B$16*Premissas!$B$21</f>
        <v>0</v>
      </c>
      <c r="I57" s="12" t="n">
        <f aca="false">-G57*(Premissas!$B$54*Unitário!$B$22+Premissas!$B$55*Unitário!$B$23)</f>
        <v>-0</v>
      </c>
      <c r="J57" s="12" t="n">
        <f aca="false">IF($A57-(Premissas!$B$49)&gt;=1,INDEX($G$5:$G$94,$A57-(Premissas!$B$49)),0)*Premissas!$B$23*((Premissas!$B$54*Unitário!$B$22+Premissas!$B$55*Unitário!$B$23)-Premissas!$B$35)</f>
        <v>0</v>
      </c>
      <c r="K57" s="12" t="n">
        <f aca="false">IF($A57-(Premissas!$B$49+Premissas!$B$52)&gt;=1,INDEX($G$5:$G$94,$A57-(Premissas!$B$49+Premissas!$B$52)),0)*Premissas!$B$24*((Premissas!$B$54*Unitário!$B$22+Premissas!$B$55*Unitário!$B$23)-Premissas!$B$36)</f>
        <v>0</v>
      </c>
      <c r="L57" s="12" t="n">
        <f aca="false">IF($A57-(Premissas!$B$49+Premissas!$B$50)&gt;=1,INDEX($G$5:$G$94,$A57-(Premissas!$B$49+Premissas!$B$50)),0)*Unitário!$B$21*(Premissas!$B$46-(1-Premissas!$B$55)*Unitário!$B$23-(1-Premissas!$B$54)*Unitário!$B$22)</f>
        <v>0</v>
      </c>
      <c r="M57" s="12" t="n">
        <f aca="false">IF($A57-(Premissas!$B$51)&gt;=1,INDEX($H$5:$H$94,$A57-(Premissas!$B$51)),0)*(Premissas!$B$47-Unitário!$B$25)</f>
        <v>0</v>
      </c>
      <c r="N57" s="12" t="n">
        <f aca="false">-H57*(Premissas!$B$54*Unitário!$B$22+Premissas!$B$28)</f>
        <v>-0</v>
      </c>
      <c r="O57" s="12" t="n">
        <f aca="false">IF($A57-(Premissas!$B$49+Premissas!$B$52)&gt;=1,INDEX($H$5:$H$94,$A57-(Premissas!$B$49+Premissas!$B$52)),0)*Premissas!$B$24*(-Premissas!$B$47-Premissas!$B$36+Premissas!$B$28+Premissas!$B$54*Unitário!$B$22)</f>
        <v>-0</v>
      </c>
      <c r="P57" s="12" t="n">
        <f aca="false">-Premissas!$B$37*(IF($A57-(Premissas!$B$49+Premissas!$B$50)&gt;=1,INDEX($G$5:$G$94,$A57-(Premissas!$B$49+Premissas!$B$50)),0)*Unitário!$B$21*Premissas!$B$46+IF($A57-(Premissas!$B$51)&gt;=1,INDEX($H$5:$H$94,$A57-(Premissas!$B$51)),0)*(1-Premissas!$B$24)*Premissas!$B$47)</f>
        <v>-0</v>
      </c>
      <c r="Q57" s="12" t="n">
        <f aca="false">IF(DAY(B57)=1,-(Premissas!$B$38+Premissas!$B$59*Premissas!$B$60),0)</f>
        <v>0</v>
      </c>
      <c r="R57" s="12" t="n">
        <f aca="false">E57+F57+SUM(I57:Q57)</f>
        <v>0</v>
      </c>
      <c r="S57" s="12" t="n">
        <f aca="false">S56+R57</f>
        <v>1225.5702628</v>
      </c>
      <c r="T57" s="15" t="n">
        <f aca="false">IF(AND($A57&gt;$B$100,S57&gt;=0),1,0)</f>
        <v>1</v>
      </c>
      <c r="U57" s="12" t="n">
        <f aca="false">S57-SUM($E$5:E57)-(1+Premissas!$B$14)*SUM($C$5:C57)</f>
        <v>1225.5702628</v>
      </c>
      <c r="V57" s="12" t="n">
        <f aca="false">C57/Premissas!$B$15*Premissas!$B$17+(G57+H57)*Premissas!$B$18</f>
        <v>0</v>
      </c>
      <c r="W57" s="15" t="n">
        <f aca="false">IF(V57&gt;0,DATE(YEAR(B57),MONTH(B57)+1,1)-Premissas!$B$11+1,0)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46360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IF(C58&gt;0,IF(DAY(B58)&lt;=Premissas!$B$12,DATE(YEAR(B58),MONTH(B58),Premissas!$B$13),DATE(YEAR(B58),MONTH(B58)+1,Premissas!$B$13))-Premissas!$B$11+1,0)</f>
        <v>0</v>
      </c>
      <c r="E58" s="12" t="n">
        <f aca="false">-SUMIF($D$5:$D$94,A58,$C$5:$C$94)*(1+Premissas!$B$14)</f>
        <v>-0</v>
      </c>
      <c r="F58" s="12" t="n">
        <f aca="false">-SUMIF($W$5:$W$94,A58,$V$5:$V$94)</f>
        <v>-0</v>
      </c>
      <c r="G58" s="29" t="n">
        <f aca="false">C58/Premissas!$B$15*Premissas!$B$16*Premissas!$B$20</f>
        <v>0</v>
      </c>
      <c r="H58" s="29" t="n">
        <f aca="false">C58/Premissas!$B$15*Premissas!$B$16*Premissas!$B$21</f>
        <v>0</v>
      </c>
      <c r="I58" s="12" t="n">
        <f aca="false">-G58*(Premissas!$B$54*Unitário!$B$22+Premissas!$B$55*Unitário!$B$23)</f>
        <v>-0</v>
      </c>
      <c r="J58" s="12" t="n">
        <f aca="false">IF($A58-(Premissas!$B$49)&gt;=1,INDEX($G$5:$G$94,$A58-(Premissas!$B$49)),0)*Premissas!$B$23*((Premissas!$B$54*Unitário!$B$22+Premissas!$B$55*Unitário!$B$23)-Premissas!$B$35)</f>
        <v>0</v>
      </c>
      <c r="K58" s="12" t="n">
        <f aca="false">IF($A58-(Premissas!$B$49+Premissas!$B$52)&gt;=1,INDEX($G$5:$G$94,$A58-(Premissas!$B$49+Premissas!$B$52)),0)*Premissas!$B$24*((Premissas!$B$54*Unitário!$B$22+Premissas!$B$55*Unitário!$B$23)-Premissas!$B$36)</f>
        <v>0</v>
      </c>
      <c r="L58" s="12" t="n">
        <f aca="false">IF($A58-(Premissas!$B$49+Premissas!$B$50)&gt;=1,INDEX($G$5:$G$94,$A58-(Premissas!$B$49+Premissas!$B$50)),0)*Unitário!$B$21*(Premissas!$B$46-(1-Premissas!$B$55)*Unitário!$B$23-(1-Premissas!$B$54)*Unitário!$B$22)</f>
        <v>0</v>
      </c>
      <c r="M58" s="12" t="n">
        <f aca="false">IF($A58-(Premissas!$B$51)&gt;=1,INDEX($H$5:$H$94,$A58-(Premissas!$B$51)),0)*(Premissas!$B$47-Unitário!$B$25)</f>
        <v>0</v>
      </c>
      <c r="N58" s="12" t="n">
        <f aca="false">-H58*(Premissas!$B$54*Unitário!$B$22+Premissas!$B$28)</f>
        <v>-0</v>
      </c>
      <c r="O58" s="12" t="n">
        <f aca="false">IF($A58-(Premissas!$B$49+Premissas!$B$52)&gt;=1,INDEX($H$5:$H$94,$A58-(Premissas!$B$49+Premissas!$B$52)),0)*Premissas!$B$24*(-Premissas!$B$47-Premissas!$B$36+Premissas!$B$28+Premissas!$B$54*Unitário!$B$22)</f>
        <v>-0</v>
      </c>
      <c r="P58" s="12" t="n">
        <f aca="false">-Premissas!$B$37*(IF($A58-(Premissas!$B$49+Premissas!$B$50)&gt;=1,INDEX($G$5:$G$94,$A58-(Premissas!$B$49+Premissas!$B$50)),0)*Unitário!$B$21*Premissas!$B$46+IF($A58-(Premissas!$B$51)&gt;=1,INDEX($H$5:$H$94,$A58-(Premissas!$B$51)),0)*(1-Premissas!$B$24)*Premissas!$B$47)</f>
        <v>-0</v>
      </c>
      <c r="Q58" s="12" t="n">
        <f aca="false">IF(DAY(B58)=1,-(Premissas!$B$38+Premissas!$B$59*Premissas!$B$60),0)</f>
        <v>0</v>
      </c>
      <c r="R58" s="12" t="n">
        <f aca="false">E58+F58+SUM(I58:Q58)</f>
        <v>0</v>
      </c>
      <c r="S58" s="12" t="n">
        <f aca="false">S57+R58</f>
        <v>1225.5702628</v>
      </c>
      <c r="T58" s="15" t="n">
        <f aca="false">IF(AND($A58&gt;$B$100,S58&gt;=0),1,0)</f>
        <v>1</v>
      </c>
      <c r="U58" s="12" t="n">
        <f aca="false">S58-SUM($E$5:E58)-(1+Premissas!$B$14)*SUM($C$5:C58)</f>
        <v>1225.5702628</v>
      </c>
      <c r="V58" s="12" t="n">
        <f aca="false">C58/Premissas!$B$15*Premissas!$B$17+(G58+H58)*Premissas!$B$18</f>
        <v>0</v>
      </c>
      <c r="W58" s="15" t="n">
        <f aca="false">IF(V58&gt;0,DATE(YEAR(B58),MONTH(B58)+1,1)-Premissas!$B$11+1,0)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46361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IF(C59&gt;0,IF(DAY(B59)&lt;=Premissas!$B$12,DATE(YEAR(B59),MONTH(B59),Premissas!$B$13),DATE(YEAR(B59),MONTH(B59)+1,Premissas!$B$13))-Premissas!$B$11+1,0)</f>
        <v>0</v>
      </c>
      <c r="E59" s="12" t="n">
        <f aca="false">-SUMIF($D$5:$D$94,A59,$C$5:$C$94)*(1+Premissas!$B$14)</f>
        <v>-0</v>
      </c>
      <c r="F59" s="12" t="n">
        <f aca="false">-SUMIF($W$5:$W$94,A59,$V$5:$V$94)</f>
        <v>-0</v>
      </c>
      <c r="G59" s="29" t="n">
        <f aca="false">C59/Premissas!$B$15*Premissas!$B$16*Premissas!$B$20</f>
        <v>0</v>
      </c>
      <c r="H59" s="29" t="n">
        <f aca="false">C59/Premissas!$B$15*Premissas!$B$16*Premissas!$B$21</f>
        <v>0</v>
      </c>
      <c r="I59" s="12" t="n">
        <f aca="false">-G59*(Premissas!$B$54*Unitário!$B$22+Premissas!$B$55*Unitário!$B$23)</f>
        <v>-0</v>
      </c>
      <c r="J59" s="12" t="n">
        <f aca="false">IF($A59-(Premissas!$B$49)&gt;=1,INDEX($G$5:$G$94,$A59-(Premissas!$B$49)),0)*Premissas!$B$23*((Premissas!$B$54*Unitário!$B$22+Premissas!$B$55*Unitário!$B$23)-Premissas!$B$35)</f>
        <v>0</v>
      </c>
      <c r="K59" s="12" t="n">
        <f aca="false">IF($A59-(Premissas!$B$49+Premissas!$B$52)&gt;=1,INDEX($G$5:$G$94,$A59-(Premissas!$B$49+Premissas!$B$52)),0)*Premissas!$B$24*((Premissas!$B$54*Unitário!$B$22+Premissas!$B$55*Unitário!$B$23)-Premissas!$B$36)</f>
        <v>0</v>
      </c>
      <c r="L59" s="12" t="n">
        <f aca="false">IF($A59-(Premissas!$B$49+Premissas!$B$50)&gt;=1,INDEX($G$5:$G$94,$A59-(Premissas!$B$49+Premissas!$B$50)),0)*Unitário!$B$21*(Premissas!$B$46-(1-Premissas!$B$55)*Unitário!$B$23-(1-Premissas!$B$54)*Unitário!$B$22)</f>
        <v>0</v>
      </c>
      <c r="M59" s="12" t="n">
        <f aca="false">IF($A59-(Premissas!$B$51)&gt;=1,INDEX($H$5:$H$94,$A59-(Premissas!$B$51)),0)*(Premissas!$B$47-Unitário!$B$25)</f>
        <v>0</v>
      </c>
      <c r="N59" s="12" t="n">
        <f aca="false">-H59*(Premissas!$B$54*Unitário!$B$22+Premissas!$B$28)</f>
        <v>-0</v>
      </c>
      <c r="O59" s="12" t="n">
        <f aca="false">IF($A59-(Premissas!$B$49+Premissas!$B$52)&gt;=1,INDEX($H$5:$H$94,$A59-(Premissas!$B$49+Premissas!$B$52)),0)*Premissas!$B$24*(-Premissas!$B$47-Premissas!$B$36+Premissas!$B$28+Premissas!$B$54*Unitário!$B$22)</f>
        <v>-0</v>
      </c>
      <c r="P59" s="12" t="n">
        <f aca="false">-Premissas!$B$37*(IF($A59-(Premissas!$B$49+Premissas!$B$50)&gt;=1,INDEX($G$5:$G$94,$A59-(Premissas!$B$49+Premissas!$B$50)),0)*Unitário!$B$21*Premissas!$B$46+IF($A59-(Premissas!$B$51)&gt;=1,INDEX($H$5:$H$94,$A59-(Premissas!$B$51)),0)*(1-Premissas!$B$24)*Premissas!$B$47)</f>
        <v>-0</v>
      </c>
      <c r="Q59" s="12" t="n">
        <f aca="false">IF(DAY(B59)=1,-(Premissas!$B$38+Premissas!$B$59*Premissas!$B$60),0)</f>
        <v>0</v>
      </c>
      <c r="R59" s="12" t="n">
        <f aca="false">E59+F59+SUM(I59:Q59)</f>
        <v>0</v>
      </c>
      <c r="S59" s="12" t="n">
        <f aca="false">S58+R59</f>
        <v>1225.5702628</v>
      </c>
      <c r="T59" s="15" t="n">
        <f aca="false">IF(AND($A59&gt;$B$100,S59&gt;=0),1,0)</f>
        <v>1</v>
      </c>
      <c r="U59" s="12" t="n">
        <f aca="false">S59-SUM($E$5:E59)-(1+Premissas!$B$14)*SUM($C$5:C59)</f>
        <v>1225.5702628</v>
      </c>
      <c r="V59" s="12" t="n">
        <f aca="false">C59/Premissas!$B$15*Premissas!$B$17+(G59+H59)*Premissas!$B$18</f>
        <v>0</v>
      </c>
      <c r="W59" s="15" t="n">
        <f aca="false">IF(V59&gt;0,DATE(YEAR(B59),MONTH(B59)+1,1)-Premissas!$B$11+1,0)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46362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IF(C60&gt;0,IF(DAY(B60)&lt;=Premissas!$B$12,DATE(YEAR(B60),MONTH(B60),Premissas!$B$13),DATE(YEAR(B60),MONTH(B60)+1,Premissas!$B$13))-Premissas!$B$11+1,0)</f>
        <v>0</v>
      </c>
      <c r="E60" s="12" t="n">
        <f aca="false">-SUMIF($D$5:$D$94,A60,$C$5:$C$94)*(1+Premissas!$B$14)</f>
        <v>-0</v>
      </c>
      <c r="F60" s="12" t="n">
        <f aca="false">-SUMIF($W$5:$W$94,A60,$V$5:$V$94)</f>
        <v>-0</v>
      </c>
      <c r="G60" s="29" t="n">
        <f aca="false">C60/Premissas!$B$15*Premissas!$B$16*Premissas!$B$20</f>
        <v>0</v>
      </c>
      <c r="H60" s="29" t="n">
        <f aca="false">C60/Premissas!$B$15*Premissas!$B$16*Premissas!$B$21</f>
        <v>0</v>
      </c>
      <c r="I60" s="12" t="n">
        <f aca="false">-G60*(Premissas!$B$54*Unitário!$B$22+Premissas!$B$55*Unitário!$B$23)</f>
        <v>-0</v>
      </c>
      <c r="J60" s="12" t="n">
        <f aca="false">IF($A60-(Premissas!$B$49)&gt;=1,INDEX($G$5:$G$94,$A60-(Premissas!$B$49)),0)*Premissas!$B$23*((Premissas!$B$54*Unitário!$B$22+Premissas!$B$55*Unitário!$B$23)-Premissas!$B$35)</f>
        <v>0</v>
      </c>
      <c r="K60" s="12" t="n">
        <f aca="false">IF($A60-(Premissas!$B$49+Premissas!$B$52)&gt;=1,INDEX($G$5:$G$94,$A60-(Premissas!$B$49+Premissas!$B$52)),0)*Premissas!$B$24*((Premissas!$B$54*Unitário!$B$22+Premissas!$B$55*Unitário!$B$23)-Premissas!$B$36)</f>
        <v>0</v>
      </c>
      <c r="L60" s="12" t="n">
        <f aca="false">IF($A60-(Premissas!$B$49+Premissas!$B$50)&gt;=1,INDEX($G$5:$G$94,$A60-(Premissas!$B$49+Premissas!$B$50)),0)*Unitário!$B$21*(Premissas!$B$46-(1-Premissas!$B$55)*Unitário!$B$23-(1-Premissas!$B$54)*Unitário!$B$22)</f>
        <v>0</v>
      </c>
      <c r="M60" s="12" t="n">
        <f aca="false">IF($A60-(Premissas!$B$51)&gt;=1,INDEX($H$5:$H$94,$A60-(Premissas!$B$51)),0)*(Premissas!$B$47-Unitário!$B$25)</f>
        <v>0</v>
      </c>
      <c r="N60" s="12" t="n">
        <f aca="false">-H60*(Premissas!$B$54*Unitário!$B$22+Premissas!$B$28)</f>
        <v>-0</v>
      </c>
      <c r="O60" s="12" t="n">
        <f aca="false">IF($A60-(Premissas!$B$49+Premissas!$B$52)&gt;=1,INDEX($H$5:$H$94,$A60-(Premissas!$B$49+Premissas!$B$52)),0)*Premissas!$B$24*(-Premissas!$B$47-Premissas!$B$36+Premissas!$B$28+Premissas!$B$54*Unitário!$B$22)</f>
        <v>-0</v>
      </c>
      <c r="P60" s="12" t="n">
        <f aca="false">-Premissas!$B$37*(IF($A60-(Premissas!$B$49+Premissas!$B$50)&gt;=1,INDEX($G$5:$G$94,$A60-(Premissas!$B$49+Premissas!$B$50)),0)*Unitário!$B$21*Premissas!$B$46+IF($A60-(Premissas!$B$51)&gt;=1,INDEX($H$5:$H$94,$A60-(Premissas!$B$51)),0)*(1-Premissas!$B$24)*Premissas!$B$47)</f>
        <v>-0</v>
      </c>
      <c r="Q60" s="12" t="n">
        <f aca="false">IF(DAY(B60)=1,-(Premissas!$B$38+Premissas!$B$59*Premissas!$B$60),0)</f>
        <v>0</v>
      </c>
      <c r="R60" s="12" t="n">
        <f aca="false">E60+F60+SUM(I60:Q60)</f>
        <v>0</v>
      </c>
      <c r="S60" s="12" t="n">
        <f aca="false">S59+R60</f>
        <v>1225.5702628</v>
      </c>
      <c r="T60" s="15" t="n">
        <f aca="false">IF(AND($A60&gt;$B$100,S60&gt;=0),1,0)</f>
        <v>1</v>
      </c>
      <c r="U60" s="12" t="n">
        <f aca="false">S60-SUM($E$5:E60)-(1+Premissas!$B$14)*SUM($C$5:C60)</f>
        <v>1225.5702628</v>
      </c>
      <c r="V60" s="12" t="n">
        <f aca="false">C60/Premissas!$B$15*Premissas!$B$17+(G60+H60)*Premissas!$B$18</f>
        <v>0</v>
      </c>
      <c r="W60" s="15" t="n">
        <f aca="false">IF(V60&gt;0,DATE(YEAR(B60),MONTH(B60)+1,1)-Premissas!$B$11+1,0)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46363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IF(C61&gt;0,IF(DAY(B61)&lt;=Premissas!$B$12,DATE(YEAR(B61),MONTH(B61),Premissas!$B$13),DATE(YEAR(B61),MONTH(B61)+1,Premissas!$B$13))-Premissas!$B$11+1,0)</f>
        <v>0</v>
      </c>
      <c r="E61" s="12" t="n">
        <f aca="false">-SUMIF($D$5:$D$94,A61,$C$5:$C$94)*(1+Premissas!$B$14)</f>
        <v>-0</v>
      </c>
      <c r="F61" s="12" t="n">
        <f aca="false">-SUMIF($W$5:$W$94,A61,$V$5:$V$94)</f>
        <v>-0</v>
      </c>
      <c r="G61" s="29" t="n">
        <f aca="false">C61/Premissas!$B$15*Premissas!$B$16*Premissas!$B$20</f>
        <v>0</v>
      </c>
      <c r="H61" s="29" t="n">
        <f aca="false">C61/Premissas!$B$15*Premissas!$B$16*Premissas!$B$21</f>
        <v>0</v>
      </c>
      <c r="I61" s="12" t="n">
        <f aca="false">-G61*(Premissas!$B$54*Unitário!$B$22+Premissas!$B$55*Unitário!$B$23)</f>
        <v>-0</v>
      </c>
      <c r="J61" s="12" t="n">
        <f aca="false">IF($A61-(Premissas!$B$49)&gt;=1,INDEX($G$5:$G$94,$A61-(Premissas!$B$49)),0)*Premissas!$B$23*((Premissas!$B$54*Unitário!$B$22+Premissas!$B$55*Unitário!$B$23)-Premissas!$B$35)</f>
        <v>0</v>
      </c>
      <c r="K61" s="12" t="n">
        <f aca="false">IF($A61-(Premissas!$B$49+Premissas!$B$52)&gt;=1,INDEX($G$5:$G$94,$A61-(Premissas!$B$49+Premissas!$B$52)),0)*Premissas!$B$24*((Premissas!$B$54*Unitário!$B$22+Premissas!$B$55*Unitário!$B$23)-Premissas!$B$36)</f>
        <v>0</v>
      </c>
      <c r="L61" s="12" t="n">
        <f aca="false">IF($A61-(Premissas!$B$49+Premissas!$B$50)&gt;=1,INDEX($G$5:$G$94,$A61-(Premissas!$B$49+Premissas!$B$50)),0)*Unitário!$B$21*(Premissas!$B$46-(1-Premissas!$B$55)*Unitário!$B$23-(1-Premissas!$B$54)*Unitário!$B$22)</f>
        <v>0</v>
      </c>
      <c r="M61" s="12" t="n">
        <f aca="false">IF($A61-(Premissas!$B$51)&gt;=1,INDEX($H$5:$H$94,$A61-(Premissas!$B$51)),0)*(Premissas!$B$47-Unitário!$B$25)</f>
        <v>0</v>
      </c>
      <c r="N61" s="12" t="n">
        <f aca="false">-H61*(Premissas!$B$54*Unitário!$B$22+Premissas!$B$28)</f>
        <v>-0</v>
      </c>
      <c r="O61" s="12" t="n">
        <f aca="false">IF($A61-(Premissas!$B$49+Premissas!$B$52)&gt;=1,INDEX($H$5:$H$94,$A61-(Premissas!$B$49+Premissas!$B$52)),0)*Premissas!$B$24*(-Premissas!$B$47-Premissas!$B$36+Premissas!$B$28+Premissas!$B$54*Unitário!$B$22)</f>
        <v>-0</v>
      </c>
      <c r="P61" s="12" t="n">
        <f aca="false">-Premissas!$B$37*(IF($A61-(Premissas!$B$49+Premissas!$B$50)&gt;=1,INDEX($G$5:$G$94,$A61-(Premissas!$B$49+Premissas!$B$50)),0)*Unitário!$B$21*Premissas!$B$46+IF($A61-(Premissas!$B$51)&gt;=1,INDEX($H$5:$H$94,$A61-(Premissas!$B$51)),0)*(1-Premissas!$B$24)*Premissas!$B$47)</f>
        <v>-0</v>
      </c>
      <c r="Q61" s="12" t="n">
        <f aca="false">IF(DAY(B61)=1,-(Premissas!$B$38+Premissas!$B$59*Premissas!$B$60),0)</f>
        <v>0</v>
      </c>
      <c r="R61" s="12" t="n">
        <f aca="false">E61+F61+SUM(I61:Q61)</f>
        <v>0</v>
      </c>
      <c r="S61" s="12" t="n">
        <f aca="false">S60+R61</f>
        <v>1225.5702628</v>
      </c>
      <c r="T61" s="15" t="n">
        <f aca="false">IF(AND($A61&gt;$B$100,S61&gt;=0),1,0)</f>
        <v>1</v>
      </c>
      <c r="U61" s="12" t="n">
        <f aca="false">S61-SUM($E$5:E61)-(1+Premissas!$B$14)*SUM($C$5:C61)</f>
        <v>1225.5702628</v>
      </c>
      <c r="V61" s="12" t="n">
        <f aca="false">C61/Premissas!$B$15*Premissas!$B$17+(G61+H61)*Premissas!$B$18</f>
        <v>0</v>
      </c>
      <c r="W61" s="15" t="n">
        <f aca="false">IF(V61&gt;0,DATE(YEAR(B61),MONTH(B61)+1,1)-Premissas!$B$11+1,0)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46364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IF(C62&gt;0,IF(DAY(B62)&lt;=Premissas!$B$12,DATE(YEAR(B62),MONTH(B62),Premissas!$B$13),DATE(YEAR(B62),MONTH(B62)+1,Premissas!$B$13))-Premissas!$B$11+1,0)</f>
        <v>0</v>
      </c>
      <c r="E62" s="12" t="n">
        <f aca="false">-SUMIF($D$5:$D$94,A62,$C$5:$C$94)*(1+Premissas!$B$14)</f>
        <v>-0</v>
      </c>
      <c r="F62" s="12" t="n">
        <f aca="false">-SUMIF($W$5:$W$94,A62,$V$5:$V$94)</f>
        <v>-0</v>
      </c>
      <c r="G62" s="29" t="n">
        <f aca="false">C62/Premissas!$B$15*Premissas!$B$16*Premissas!$B$20</f>
        <v>0</v>
      </c>
      <c r="H62" s="29" t="n">
        <f aca="false">C62/Premissas!$B$15*Premissas!$B$16*Premissas!$B$21</f>
        <v>0</v>
      </c>
      <c r="I62" s="12" t="n">
        <f aca="false">-G62*(Premissas!$B$54*Unitário!$B$22+Premissas!$B$55*Unitário!$B$23)</f>
        <v>-0</v>
      </c>
      <c r="J62" s="12" t="n">
        <f aca="false">IF($A62-(Premissas!$B$49)&gt;=1,INDEX($G$5:$G$94,$A62-(Premissas!$B$49)),0)*Premissas!$B$23*((Premissas!$B$54*Unitário!$B$22+Premissas!$B$55*Unitário!$B$23)-Premissas!$B$35)</f>
        <v>0</v>
      </c>
      <c r="K62" s="12" t="n">
        <f aca="false">IF($A62-(Premissas!$B$49+Premissas!$B$52)&gt;=1,INDEX($G$5:$G$94,$A62-(Premissas!$B$49+Premissas!$B$52)),0)*Premissas!$B$24*((Premissas!$B$54*Unitário!$B$22+Premissas!$B$55*Unitário!$B$23)-Premissas!$B$36)</f>
        <v>0</v>
      </c>
      <c r="L62" s="12" t="n">
        <f aca="false">IF($A62-(Premissas!$B$49+Premissas!$B$50)&gt;=1,INDEX($G$5:$G$94,$A62-(Premissas!$B$49+Premissas!$B$50)),0)*Unitário!$B$21*(Premissas!$B$46-(1-Premissas!$B$55)*Unitário!$B$23-(1-Premissas!$B$54)*Unitário!$B$22)</f>
        <v>0</v>
      </c>
      <c r="M62" s="12" t="n">
        <f aca="false">IF($A62-(Premissas!$B$51)&gt;=1,INDEX($H$5:$H$94,$A62-(Premissas!$B$51)),0)*(Premissas!$B$47-Unitário!$B$25)</f>
        <v>0</v>
      </c>
      <c r="N62" s="12" t="n">
        <f aca="false">-H62*(Premissas!$B$54*Unitário!$B$22+Premissas!$B$28)</f>
        <v>-0</v>
      </c>
      <c r="O62" s="12" t="n">
        <f aca="false">IF($A62-(Premissas!$B$49+Premissas!$B$52)&gt;=1,INDEX($H$5:$H$94,$A62-(Premissas!$B$49+Premissas!$B$52)),0)*Premissas!$B$24*(-Premissas!$B$47-Premissas!$B$36+Premissas!$B$28+Premissas!$B$54*Unitário!$B$22)</f>
        <v>-0</v>
      </c>
      <c r="P62" s="12" t="n">
        <f aca="false">-Premissas!$B$37*(IF($A62-(Premissas!$B$49+Premissas!$B$50)&gt;=1,INDEX($G$5:$G$94,$A62-(Premissas!$B$49+Premissas!$B$50)),0)*Unitário!$B$21*Premissas!$B$46+IF($A62-(Premissas!$B$51)&gt;=1,INDEX($H$5:$H$94,$A62-(Premissas!$B$51)),0)*(1-Premissas!$B$24)*Premissas!$B$47)</f>
        <v>-0</v>
      </c>
      <c r="Q62" s="12" t="n">
        <f aca="false">IF(DAY(B62)=1,-(Premissas!$B$38+Premissas!$B$59*Premissas!$B$60),0)</f>
        <v>0</v>
      </c>
      <c r="R62" s="12" t="n">
        <f aca="false">E62+F62+SUM(I62:Q62)</f>
        <v>0</v>
      </c>
      <c r="S62" s="12" t="n">
        <f aca="false">S61+R62</f>
        <v>1225.5702628</v>
      </c>
      <c r="T62" s="15" t="n">
        <f aca="false">IF(AND($A62&gt;$B$100,S62&gt;=0),1,0)</f>
        <v>1</v>
      </c>
      <c r="U62" s="12" t="n">
        <f aca="false">S62-SUM($E$5:E62)-(1+Premissas!$B$14)*SUM($C$5:C62)</f>
        <v>1225.5702628</v>
      </c>
      <c r="V62" s="12" t="n">
        <f aca="false">C62/Premissas!$B$15*Premissas!$B$17+(G62+H62)*Premissas!$B$18</f>
        <v>0</v>
      </c>
      <c r="W62" s="15" t="n">
        <f aca="false">IF(V62&gt;0,DATE(YEAR(B62),MONTH(B62)+1,1)-Premissas!$B$11+1,0)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46365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IF(C63&gt;0,IF(DAY(B63)&lt;=Premissas!$B$12,DATE(YEAR(B63),MONTH(B63),Premissas!$B$13),DATE(YEAR(B63),MONTH(B63)+1,Premissas!$B$13))-Premissas!$B$11+1,0)</f>
        <v>0</v>
      </c>
      <c r="E63" s="12" t="n">
        <f aca="false">-SUMIF($D$5:$D$94,A63,$C$5:$C$94)*(1+Premissas!$B$14)</f>
        <v>-0</v>
      </c>
      <c r="F63" s="12" t="n">
        <f aca="false">-SUMIF($W$5:$W$94,A63,$V$5:$V$94)</f>
        <v>-0</v>
      </c>
      <c r="G63" s="29" t="n">
        <f aca="false">C63/Premissas!$B$15*Premissas!$B$16*Premissas!$B$20</f>
        <v>0</v>
      </c>
      <c r="H63" s="29" t="n">
        <f aca="false">C63/Premissas!$B$15*Premissas!$B$16*Premissas!$B$21</f>
        <v>0</v>
      </c>
      <c r="I63" s="12" t="n">
        <f aca="false">-G63*(Premissas!$B$54*Unitário!$B$22+Premissas!$B$55*Unitário!$B$23)</f>
        <v>-0</v>
      </c>
      <c r="J63" s="12" t="n">
        <f aca="false">IF($A63-(Premissas!$B$49)&gt;=1,INDEX($G$5:$G$94,$A63-(Premissas!$B$49)),0)*Premissas!$B$23*((Premissas!$B$54*Unitário!$B$22+Premissas!$B$55*Unitário!$B$23)-Premissas!$B$35)</f>
        <v>0</v>
      </c>
      <c r="K63" s="12" t="n">
        <f aca="false">IF($A63-(Premissas!$B$49+Premissas!$B$52)&gt;=1,INDEX($G$5:$G$94,$A63-(Premissas!$B$49+Premissas!$B$52)),0)*Premissas!$B$24*((Premissas!$B$54*Unitário!$B$22+Premissas!$B$55*Unitário!$B$23)-Premissas!$B$36)</f>
        <v>0</v>
      </c>
      <c r="L63" s="12" t="n">
        <f aca="false">IF($A63-(Premissas!$B$49+Premissas!$B$50)&gt;=1,INDEX($G$5:$G$94,$A63-(Premissas!$B$49+Premissas!$B$50)),0)*Unitário!$B$21*(Premissas!$B$46-(1-Premissas!$B$55)*Unitário!$B$23-(1-Premissas!$B$54)*Unitário!$B$22)</f>
        <v>0</v>
      </c>
      <c r="M63" s="12" t="n">
        <f aca="false">IF($A63-(Premissas!$B$51)&gt;=1,INDEX($H$5:$H$94,$A63-(Premissas!$B$51)),0)*(Premissas!$B$47-Unitário!$B$25)</f>
        <v>0</v>
      </c>
      <c r="N63" s="12" t="n">
        <f aca="false">-H63*(Premissas!$B$54*Unitário!$B$22+Premissas!$B$28)</f>
        <v>-0</v>
      </c>
      <c r="O63" s="12" t="n">
        <f aca="false">IF($A63-(Premissas!$B$49+Premissas!$B$52)&gt;=1,INDEX($H$5:$H$94,$A63-(Premissas!$B$49+Premissas!$B$52)),0)*Premissas!$B$24*(-Premissas!$B$47-Premissas!$B$36+Premissas!$B$28+Premissas!$B$54*Unitário!$B$22)</f>
        <v>-0</v>
      </c>
      <c r="P63" s="12" t="n">
        <f aca="false">-Premissas!$B$37*(IF($A63-(Premissas!$B$49+Premissas!$B$50)&gt;=1,INDEX($G$5:$G$94,$A63-(Premissas!$B$49+Premissas!$B$50)),0)*Unitário!$B$21*Premissas!$B$46+IF($A63-(Premissas!$B$51)&gt;=1,INDEX($H$5:$H$94,$A63-(Premissas!$B$51)),0)*(1-Premissas!$B$24)*Premissas!$B$47)</f>
        <v>-0</v>
      </c>
      <c r="Q63" s="12" t="n">
        <f aca="false">IF(DAY(B63)=1,-(Premissas!$B$38+Premissas!$B$59*Premissas!$B$60),0)</f>
        <v>0</v>
      </c>
      <c r="R63" s="12" t="n">
        <f aca="false">E63+F63+SUM(I63:Q63)</f>
        <v>0</v>
      </c>
      <c r="S63" s="12" t="n">
        <f aca="false">S62+R63</f>
        <v>1225.5702628</v>
      </c>
      <c r="T63" s="15" t="n">
        <f aca="false">IF(AND($A63&gt;$B$100,S63&gt;=0),1,0)</f>
        <v>1</v>
      </c>
      <c r="U63" s="12" t="n">
        <f aca="false">S63-SUM($E$5:E63)-(1+Premissas!$B$14)*SUM($C$5:C63)</f>
        <v>1225.5702628</v>
      </c>
      <c r="V63" s="12" t="n">
        <f aca="false">C63/Premissas!$B$15*Premissas!$B$17+(G63+H63)*Premissas!$B$18</f>
        <v>0</v>
      </c>
      <c r="W63" s="15" t="n">
        <f aca="false">IF(V63&gt;0,DATE(YEAR(B63),MONTH(B63)+1,1)-Premissas!$B$11+1,0)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46366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IF(C64&gt;0,IF(DAY(B64)&lt;=Premissas!$B$12,DATE(YEAR(B64),MONTH(B64),Premissas!$B$13),DATE(YEAR(B64),MONTH(B64)+1,Premissas!$B$13))-Premissas!$B$11+1,0)</f>
        <v>0</v>
      </c>
      <c r="E64" s="12" t="n">
        <f aca="false">-SUMIF($D$5:$D$94,A64,$C$5:$C$94)*(1+Premissas!$B$14)</f>
        <v>-0</v>
      </c>
      <c r="F64" s="12" t="n">
        <f aca="false">-SUMIF($W$5:$W$94,A64,$V$5:$V$94)</f>
        <v>-0</v>
      </c>
      <c r="G64" s="29" t="n">
        <f aca="false">C64/Premissas!$B$15*Premissas!$B$16*Premissas!$B$20</f>
        <v>0</v>
      </c>
      <c r="H64" s="29" t="n">
        <f aca="false">C64/Premissas!$B$15*Premissas!$B$16*Premissas!$B$21</f>
        <v>0</v>
      </c>
      <c r="I64" s="12" t="n">
        <f aca="false">-G64*(Premissas!$B$54*Unitário!$B$22+Premissas!$B$55*Unitário!$B$23)</f>
        <v>-0</v>
      </c>
      <c r="J64" s="12" t="n">
        <f aca="false">IF($A64-(Premissas!$B$49)&gt;=1,INDEX($G$5:$G$94,$A64-(Premissas!$B$49)),0)*Premissas!$B$23*((Premissas!$B$54*Unitário!$B$22+Premissas!$B$55*Unitário!$B$23)-Premissas!$B$35)</f>
        <v>0</v>
      </c>
      <c r="K64" s="12" t="n">
        <f aca="false">IF($A64-(Premissas!$B$49+Premissas!$B$52)&gt;=1,INDEX($G$5:$G$94,$A64-(Premissas!$B$49+Premissas!$B$52)),0)*Premissas!$B$24*((Premissas!$B$54*Unitário!$B$22+Premissas!$B$55*Unitário!$B$23)-Premissas!$B$36)</f>
        <v>0</v>
      </c>
      <c r="L64" s="12" t="n">
        <f aca="false">IF($A64-(Premissas!$B$49+Premissas!$B$50)&gt;=1,INDEX($G$5:$G$94,$A64-(Premissas!$B$49+Premissas!$B$50)),0)*Unitário!$B$21*(Premissas!$B$46-(1-Premissas!$B$55)*Unitário!$B$23-(1-Premissas!$B$54)*Unitário!$B$22)</f>
        <v>0</v>
      </c>
      <c r="M64" s="12" t="n">
        <f aca="false">IF($A64-(Premissas!$B$51)&gt;=1,INDEX($H$5:$H$94,$A64-(Premissas!$B$51)),0)*(Premissas!$B$47-Unitário!$B$25)</f>
        <v>0</v>
      </c>
      <c r="N64" s="12" t="n">
        <f aca="false">-H64*(Premissas!$B$54*Unitário!$B$22+Premissas!$B$28)</f>
        <v>-0</v>
      </c>
      <c r="O64" s="12" t="n">
        <f aca="false">IF($A64-(Premissas!$B$49+Premissas!$B$52)&gt;=1,INDEX($H$5:$H$94,$A64-(Premissas!$B$49+Premissas!$B$52)),0)*Premissas!$B$24*(-Premissas!$B$47-Premissas!$B$36+Premissas!$B$28+Premissas!$B$54*Unitário!$B$22)</f>
        <v>-0</v>
      </c>
      <c r="P64" s="12" t="n">
        <f aca="false">-Premissas!$B$37*(IF($A64-(Premissas!$B$49+Premissas!$B$50)&gt;=1,INDEX($G$5:$G$94,$A64-(Premissas!$B$49+Premissas!$B$50)),0)*Unitário!$B$21*Premissas!$B$46+IF($A64-(Premissas!$B$51)&gt;=1,INDEX($H$5:$H$94,$A64-(Premissas!$B$51)),0)*(1-Premissas!$B$24)*Premissas!$B$47)</f>
        <v>-0</v>
      </c>
      <c r="Q64" s="12" t="n">
        <f aca="false">IF(DAY(B64)=1,-(Premissas!$B$38+Premissas!$B$59*Premissas!$B$60),0)</f>
        <v>0</v>
      </c>
      <c r="R64" s="12" t="n">
        <f aca="false">E64+F64+SUM(I64:Q64)</f>
        <v>0</v>
      </c>
      <c r="S64" s="12" t="n">
        <f aca="false">S63+R64</f>
        <v>1225.5702628</v>
      </c>
      <c r="T64" s="15" t="n">
        <f aca="false">IF(AND($A64&gt;$B$100,S64&gt;=0),1,0)</f>
        <v>1</v>
      </c>
      <c r="U64" s="12" t="n">
        <f aca="false">S64-SUM($E$5:E64)-(1+Premissas!$B$14)*SUM($C$5:C64)</f>
        <v>1225.5702628</v>
      </c>
      <c r="V64" s="12" t="n">
        <f aca="false">C64/Premissas!$B$15*Premissas!$B$17+(G64+H64)*Premissas!$B$18</f>
        <v>0</v>
      </c>
      <c r="W64" s="15" t="n">
        <f aca="false">IF(V64&gt;0,DATE(YEAR(B64),MONTH(B64)+1,1)-Premissas!$B$11+1,0)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46367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IF(C65&gt;0,IF(DAY(B65)&lt;=Premissas!$B$12,DATE(YEAR(B65),MONTH(B65),Premissas!$B$13),DATE(YEAR(B65),MONTH(B65)+1,Premissas!$B$13))-Premissas!$B$11+1,0)</f>
        <v>0</v>
      </c>
      <c r="E65" s="12" t="n">
        <f aca="false">-SUMIF($D$5:$D$94,A65,$C$5:$C$94)*(1+Premissas!$B$14)</f>
        <v>-0</v>
      </c>
      <c r="F65" s="12" t="n">
        <f aca="false">-SUMIF($W$5:$W$94,A65,$V$5:$V$94)</f>
        <v>-0</v>
      </c>
      <c r="G65" s="29" t="n">
        <f aca="false">C65/Premissas!$B$15*Premissas!$B$16*Premissas!$B$20</f>
        <v>0</v>
      </c>
      <c r="H65" s="29" t="n">
        <f aca="false">C65/Premissas!$B$15*Premissas!$B$16*Premissas!$B$21</f>
        <v>0</v>
      </c>
      <c r="I65" s="12" t="n">
        <f aca="false">-G65*(Premissas!$B$54*Unitário!$B$22+Premissas!$B$55*Unitário!$B$23)</f>
        <v>-0</v>
      </c>
      <c r="J65" s="12" t="n">
        <f aca="false">IF($A65-(Premissas!$B$49)&gt;=1,INDEX($G$5:$G$94,$A65-(Premissas!$B$49)),0)*Premissas!$B$23*((Premissas!$B$54*Unitário!$B$22+Premissas!$B$55*Unitário!$B$23)-Premissas!$B$35)</f>
        <v>0</v>
      </c>
      <c r="K65" s="12" t="n">
        <f aca="false">IF($A65-(Premissas!$B$49+Premissas!$B$52)&gt;=1,INDEX($G$5:$G$94,$A65-(Premissas!$B$49+Premissas!$B$52)),0)*Premissas!$B$24*((Premissas!$B$54*Unitário!$B$22+Premissas!$B$55*Unitário!$B$23)-Premissas!$B$36)</f>
        <v>0</v>
      </c>
      <c r="L65" s="12" t="n">
        <f aca="false">IF($A65-(Premissas!$B$49+Premissas!$B$50)&gt;=1,INDEX($G$5:$G$94,$A65-(Premissas!$B$49+Premissas!$B$50)),0)*Unitário!$B$21*(Premissas!$B$46-(1-Premissas!$B$55)*Unitário!$B$23-(1-Premissas!$B$54)*Unitário!$B$22)</f>
        <v>0</v>
      </c>
      <c r="M65" s="12" t="n">
        <f aca="false">IF($A65-(Premissas!$B$51)&gt;=1,INDEX($H$5:$H$94,$A65-(Premissas!$B$51)),0)*(Premissas!$B$47-Unitário!$B$25)</f>
        <v>0</v>
      </c>
      <c r="N65" s="12" t="n">
        <f aca="false">-H65*(Premissas!$B$54*Unitário!$B$22+Premissas!$B$28)</f>
        <v>-0</v>
      </c>
      <c r="O65" s="12" t="n">
        <f aca="false">IF($A65-(Premissas!$B$49+Premissas!$B$52)&gt;=1,INDEX($H$5:$H$94,$A65-(Premissas!$B$49+Premissas!$B$52)),0)*Premissas!$B$24*(-Premissas!$B$47-Premissas!$B$36+Premissas!$B$28+Premissas!$B$54*Unitário!$B$22)</f>
        <v>-0</v>
      </c>
      <c r="P65" s="12" t="n">
        <f aca="false">-Premissas!$B$37*(IF($A65-(Premissas!$B$49+Premissas!$B$50)&gt;=1,INDEX($G$5:$G$94,$A65-(Premissas!$B$49+Premissas!$B$50)),0)*Unitário!$B$21*Premissas!$B$46+IF($A65-(Premissas!$B$51)&gt;=1,INDEX($H$5:$H$94,$A65-(Premissas!$B$51)),0)*(1-Premissas!$B$24)*Premissas!$B$47)</f>
        <v>-0</v>
      </c>
      <c r="Q65" s="12" t="n">
        <f aca="false">IF(DAY(B65)=1,-(Premissas!$B$38+Premissas!$B$59*Premissas!$B$60),0)</f>
        <v>0</v>
      </c>
      <c r="R65" s="12" t="n">
        <f aca="false">E65+F65+SUM(I65:Q65)</f>
        <v>0</v>
      </c>
      <c r="S65" s="12" t="n">
        <f aca="false">S64+R65</f>
        <v>1225.5702628</v>
      </c>
      <c r="T65" s="15" t="n">
        <f aca="false">IF(AND($A65&gt;$B$100,S65&gt;=0),1,0)</f>
        <v>1</v>
      </c>
      <c r="U65" s="12" t="n">
        <f aca="false">S65-SUM($E$5:E65)-(1+Premissas!$B$14)*SUM($C$5:C65)</f>
        <v>1225.5702628</v>
      </c>
      <c r="V65" s="12" t="n">
        <f aca="false">C65/Premissas!$B$15*Premissas!$B$17+(G65+H65)*Premissas!$B$18</f>
        <v>0</v>
      </c>
      <c r="W65" s="15" t="n">
        <f aca="false">IF(V65&gt;0,DATE(YEAR(B65),MONTH(B65)+1,1)-Premissas!$B$11+1,0)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46368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IF(C66&gt;0,IF(DAY(B66)&lt;=Premissas!$B$12,DATE(YEAR(B66),MONTH(B66),Premissas!$B$13),DATE(YEAR(B66),MONTH(B66)+1,Premissas!$B$13))-Premissas!$B$11+1,0)</f>
        <v>0</v>
      </c>
      <c r="E66" s="12" t="n">
        <f aca="false">-SUMIF($D$5:$D$94,A66,$C$5:$C$94)*(1+Premissas!$B$14)</f>
        <v>-0</v>
      </c>
      <c r="F66" s="12" t="n">
        <f aca="false">-SUMIF($W$5:$W$94,A66,$V$5:$V$94)</f>
        <v>-0</v>
      </c>
      <c r="G66" s="29" t="n">
        <f aca="false">C66/Premissas!$B$15*Premissas!$B$16*Premissas!$B$20</f>
        <v>0</v>
      </c>
      <c r="H66" s="29" t="n">
        <f aca="false">C66/Premissas!$B$15*Premissas!$B$16*Premissas!$B$21</f>
        <v>0</v>
      </c>
      <c r="I66" s="12" t="n">
        <f aca="false">-G66*(Premissas!$B$54*Unitário!$B$22+Premissas!$B$55*Unitário!$B$23)</f>
        <v>-0</v>
      </c>
      <c r="J66" s="12" t="n">
        <f aca="false">IF($A66-(Premissas!$B$49)&gt;=1,INDEX($G$5:$G$94,$A66-(Premissas!$B$49)),0)*Premissas!$B$23*((Premissas!$B$54*Unitário!$B$22+Premissas!$B$55*Unitário!$B$23)-Premissas!$B$35)</f>
        <v>0</v>
      </c>
      <c r="K66" s="12" t="n">
        <f aca="false">IF($A66-(Premissas!$B$49+Premissas!$B$52)&gt;=1,INDEX($G$5:$G$94,$A66-(Premissas!$B$49+Premissas!$B$52)),0)*Premissas!$B$24*((Premissas!$B$54*Unitário!$B$22+Premissas!$B$55*Unitário!$B$23)-Premissas!$B$36)</f>
        <v>0</v>
      </c>
      <c r="L66" s="12" t="n">
        <f aca="false">IF($A66-(Premissas!$B$49+Premissas!$B$50)&gt;=1,INDEX($G$5:$G$94,$A66-(Premissas!$B$49+Premissas!$B$50)),0)*Unitário!$B$21*(Premissas!$B$46-(1-Premissas!$B$55)*Unitário!$B$23-(1-Premissas!$B$54)*Unitário!$B$22)</f>
        <v>0</v>
      </c>
      <c r="M66" s="12" t="n">
        <f aca="false">IF($A66-(Premissas!$B$51)&gt;=1,INDEX($H$5:$H$94,$A66-(Premissas!$B$51)),0)*(Premissas!$B$47-Unitário!$B$25)</f>
        <v>0</v>
      </c>
      <c r="N66" s="12" t="n">
        <f aca="false">-H66*(Premissas!$B$54*Unitário!$B$22+Premissas!$B$28)</f>
        <v>-0</v>
      </c>
      <c r="O66" s="12" t="n">
        <f aca="false">IF($A66-(Premissas!$B$49+Premissas!$B$52)&gt;=1,INDEX($H$5:$H$94,$A66-(Premissas!$B$49+Premissas!$B$52)),0)*Premissas!$B$24*(-Premissas!$B$47-Premissas!$B$36+Premissas!$B$28+Premissas!$B$54*Unitário!$B$22)</f>
        <v>-0</v>
      </c>
      <c r="P66" s="12" t="n">
        <f aca="false">-Premissas!$B$37*(IF($A66-(Premissas!$B$49+Premissas!$B$50)&gt;=1,INDEX($G$5:$G$94,$A66-(Premissas!$B$49+Premissas!$B$50)),0)*Unitário!$B$21*Premissas!$B$46+IF($A66-(Premissas!$B$51)&gt;=1,INDEX($H$5:$H$94,$A66-(Premissas!$B$51)),0)*(1-Premissas!$B$24)*Premissas!$B$47)</f>
        <v>-0</v>
      </c>
      <c r="Q66" s="12" t="n">
        <f aca="false">IF(DAY(B66)=1,-(Premissas!$B$38+Premissas!$B$59*Premissas!$B$60),0)</f>
        <v>0</v>
      </c>
      <c r="R66" s="12" t="n">
        <f aca="false">E66+F66+SUM(I66:Q66)</f>
        <v>0</v>
      </c>
      <c r="S66" s="12" t="n">
        <f aca="false">S65+R66</f>
        <v>1225.5702628</v>
      </c>
      <c r="T66" s="15" t="n">
        <f aca="false">IF(AND($A66&gt;$B$100,S66&gt;=0),1,0)</f>
        <v>1</v>
      </c>
      <c r="U66" s="12" t="n">
        <f aca="false">S66-SUM($E$5:E66)-(1+Premissas!$B$14)*SUM($C$5:C66)</f>
        <v>1225.5702628</v>
      </c>
      <c r="V66" s="12" t="n">
        <f aca="false">C66/Premissas!$B$15*Premissas!$B$17+(G66+H66)*Premissas!$B$18</f>
        <v>0</v>
      </c>
      <c r="W66" s="15" t="n">
        <f aca="false">IF(V66&gt;0,DATE(YEAR(B66),MONTH(B66)+1,1)-Premissas!$B$11+1,0)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46369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IF(C67&gt;0,IF(DAY(B67)&lt;=Premissas!$B$12,DATE(YEAR(B67),MONTH(B67),Premissas!$B$13),DATE(YEAR(B67),MONTH(B67)+1,Premissas!$B$13))-Premissas!$B$11+1,0)</f>
        <v>0</v>
      </c>
      <c r="E67" s="12" t="n">
        <f aca="false">-SUMIF($D$5:$D$94,A67,$C$5:$C$94)*(1+Premissas!$B$14)</f>
        <v>-0</v>
      </c>
      <c r="F67" s="12" t="n">
        <f aca="false">-SUMIF($W$5:$W$94,A67,$V$5:$V$94)</f>
        <v>-0</v>
      </c>
      <c r="G67" s="29" t="n">
        <f aca="false">C67/Premissas!$B$15*Premissas!$B$16*Premissas!$B$20</f>
        <v>0</v>
      </c>
      <c r="H67" s="29" t="n">
        <f aca="false">C67/Premissas!$B$15*Premissas!$B$16*Premissas!$B$21</f>
        <v>0</v>
      </c>
      <c r="I67" s="12" t="n">
        <f aca="false">-G67*(Premissas!$B$54*Unitário!$B$22+Premissas!$B$55*Unitário!$B$23)</f>
        <v>-0</v>
      </c>
      <c r="J67" s="12" t="n">
        <f aca="false">IF($A67-(Premissas!$B$49)&gt;=1,INDEX($G$5:$G$94,$A67-(Premissas!$B$49)),0)*Premissas!$B$23*((Premissas!$B$54*Unitário!$B$22+Premissas!$B$55*Unitário!$B$23)-Premissas!$B$35)</f>
        <v>0</v>
      </c>
      <c r="K67" s="12" t="n">
        <f aca="false">IF($A67-(Premissas!$B$49+Premissas!$B$52)&gt;=1,INDEX($G$5:$G$94,$A67-(Premissas!$B$49+Premissas!$B$52)),0)*Premissas!$B$24*((Premissas!$B$54*Unitário!$B$22+Premissas!$B$55*Unitário!$B$23)-Premissas!$B$36)</f>
        <v>0</v>
      </c>
      <c r="L67" s="12" t="n">
        <f aca="false">IF($A67-(Premissas!$B$49+Premissas!$B$50)&gt;=1,INDEX($G$5:$G$94,$A67-(Premissas!$B$49+Premissas!$B$50)),0)*Unitário!$B$21*(Premissas!$B$46-(1-Premissas!$B$55)*Unitário!$B$23-(1-Premissas!$B$54)*Unitário!$B$22)</f>
        <v>0</v>
      </c>
      <c r="M67" s="12" t="n">
        <f aca="false">IF($A67-(Premissas!$B$51)&gt;=1,INDEX($H$5:$H$94,$A67-(Premissas!$B$51)),0)*(Premissas!$B$47-Unitário!$B$25)</f>
        <v>0</v>
      </c>
      <c r="N67" s="12" t="n">
        <f aca="false">-H67*(Premissas!$B$54*Unitário!$B$22+Premissas!$B$28)</f>
        <v>-0</v>
      </c>
      <c r="O67" s="12" t="n">
        <f aca="false">IF($A67-(Premissas!$B$49+Premissas!$B$52)&gt;=1,INDEX($H$5:$H$94,$A67-(Premissas!$B$49+Premissas!$B$52)),0)*Premissas!$B$24*(-Premissas!$B$47-Premissas!$B$36+Premissas!$B$28+Premissas!$B$54*Unitário!$B$22)</f>
        <v>-0</v>
      </c>
      <c r="P67" s="12" t="n">
        <f aca="false">-Premissas!$B$37*(IF($A67-(Premissas!$B$49+Premissas!$B$50)&gt;=1,INDEX($G$5:$G$94,$A67-(Premissas!$B$49+Premissas!$B$50)),0)*Unitário!$B$21*Premissas!$B$46+IF($A67-(Premissas!$B$51)&gt;=1,INDEX($H$5:$H$94,$A67-(Premissas!$B$51)),0)*(1-Premissas!$B$24)*Premissas!$B$47)</f>
        <v>-0</v>
      </c>
      <c r="Q67" s="12" t="n">
        <f aca="false">IF(DAY(B67)=1,-(Premissas!$B$38+Premissas!$B$59*Premissas!$B$60),0)</f>
        <v>0</v>
      </c>
      <c r="R67" s="12" t="n">
        <f aca="false">E67+F67+SUM(I67:Q67)</f>
        <v>0</v>
      </c>
      <c r="S67" s="12" t="n">
        <f aca="false">S66+R67</f>
        <v>1225.5702628</v>
      </c>
      <c r="T67" s="15" t="n">
        <f aca="false">IF(AND($A67&gt;$B$100,S67&gt;=0),1,0)</f>
        <v>1</v>
      </c>
      <c r="U67" s="12" t="n">
        <f aca="false">S67-SUM($E$5:E67)-(1+Premissas!$B$14)*SUM($C$5:C67)</f>
        <v>1225.5702628</v>
      </c>
      <c r="V67" s="12" t="n">
        <f aca="false">C67/Premissas!$B$15*Premissas!$B$17+(G67+H67)*Premissas!$B$18</f>
        <v>0</v>
      </c>
      <c r="W67" s="15" t="n">
        <f aca="false">IF(V67&gt;0,DATE(YEAR(B67),MONTH(B67)+1,1)-Premissas!$B$11+1,0)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46370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IF(C68&gt;0,IF(DAY(B68)&lt;=Premissas!$B$12,DATE(YEAR(B68),MONTH(B68),Premissas!$B$13),DATE(YEAR(B68),MONTH(B68)+1,Premissas!$B$13))-Premissas!$B$11+1,0)</f>
        <v>0</v>
      </c>
      <c r="E68" s="12" t="n">
        <f aca="false">-SUMIF($D$5:$D$94,A68,$C$5:$C$94)*(1+Premissas!$B$14)</f>
        <v>-0</v>
      </c>
      <c r="F68" s="12" t="n">
        <f aca="false">-SUMIF($W$5:$W$94,A68,$V$5:$V$94)</f>
        <v>-0</v>
      </c>
      <c r="G68" s="29" t="n">
        <f aca="false">C68/Premissas!$B$15*Premissas!$B$16*Premissas!$B$20</f>
        <v>0</v>
      </c>
      <c r="H68" s="29" t="n">
        <f aca="false">C68/Premissas!$B$15*Premissas!$B$16*Premissas!$B$21</f>
        <v>0</v>
      </c>
      <c r="I68" s="12" t="n">
        <f aca="false">-G68*(Premissas!$B$54*Unitário!$B$22+Premissas!$B$55*Unitário!$B$23)</f>
        <v>-0</v>
      </c>
      <c r="J68" s="12" t="n">
        <f aca="false">IF($A68-(Premissas!$B$49)&gt;=1,INDEX($G$5:$G$94,$A68-(Premissas!$B$49)),0)*Premissas!$B$23*((Premissas!$B$54*Unitário!$B$22+Premissas!$B$55*Unitário!$B$23)-Premissas!$B$35)</f>
        <v>0</v>
      </c>
      <c r="K68" s="12" t="n">
        <f aca="false">IF($A68-(Premissas!$B$49+Premissas!$B$52)&gt;=1,INDEX($G$5:$G$94,$A68-(Premissas!$B$49+Premissas!$B$52)),0)*Premissas!$B$24*((Premissas!$B$54*Unitário!$B$22+Premissas!$B$55*Unitário!$B$23)-Premissas!$B$36)</f>
        <v>0</v>
      </c>
      <c r="L68" s="12" t="n">
        <f aca="false">IF($A68-(Premissas!$B$49+Premissas!$B$50)&gt;=1,INDEX($G$5:$G$94,$A68-(Premissas!$B$49+Premissas!$B$50)),0)*Unitário!$B$21*(Premissas!$B$46-(1-Premissas!$B$55)*Unitário!$B$23-(1-Premissas!$B$54)*Unitário!$B$22)</f>
        <v>0</v>
      </c>
      <c r="M68" s="12" t="n">
        <f aca="false">IF($A68-(Premissas!$B$51)&gt;=1,INDEX($H$5:$H$94,$A68-(Premissas!$B$51)),0)*(Premissas!$B$47-Unitário!$B$25)</f>
        <v>0</v>
      </c>
      <c r="N68" s="12" t="n">
        <f aca="false">-H68*(Premissas!$B$54*Unitário!$B$22+Premissas!$B$28)</f>
        <v>-0</v>
      </c>
      <c r="O68" s="12" t="n">
        <f aca="false">IF($A68-(Premissas!$B$49+Premissas!$B$52)&gt;=1,INDEX($H$5:$H$94,$A68-(Premissas!$B$49+Premissas!$B$52)),0)*Premissas!$B$24*(-Premissas!$B$47-Premissas!$B$36+Premissas!$B$28+Premissas!$B$54*Unitário!$B$22)</f>
        <v>-0</v>
      </c>
      <c r="P68" s="12" t="n">
        <f aca="false">-Premissas!$B$37*(IF($A68-(Premissas!$B$49+Premissas!$B$50)&gt;=1,INDEX($G$5:$G$94,$A68-(Premissas!$B$49+Premissas!$B$50)),0)*Unitário!$B$21*Premissas!$B$46+IF($A68-(Premissas!$B$51)&gt;=1,INDEX($H$5:$H$94,$A68-(Premissas!$B$51)),0)*(1-Premissas!$B$24)*Premissas!$B$47)</f>
        <v>-0</v>
      </c>
      <c r="Q68" s="12" t="n">
        <f aca="false">IF(DAY(B68)=1,-(Premissas!$B$38+Premissas!$B$59*Premissas!$B$60),0)</f>
        <v>0</v>
      </c>
      <c r="R68" s="12" t="n">
        <f aca="false">E68+F68+SUM(I68:Q68)</f>
        <v>0</v>
      </c>
      <c r="S68" s="12" t="n">
        <f aca="false">S67+R68</f>
        <v>1225.5702628</v>
      </c>
      <c r="T68" s="15" t="n">
        <f aca="false">IF(AND($A68&gt;$B$100,S68&gt;=0),1,0)</f>
        <v>1</v>
      </c>
      <c r="U68" s="12" t="n">
        <f aca="false">S68-SUM($E$5:E68)-(1+Premissas!$B$14)*SUM($C$5:C68)</f>
        <v>1225.5702628</v>
      </c>
      <c r="V68" s="12" t="n">
        <f aca="false">C68/Premissas!$B$15*Premissas!$B$17+(G68+H68)*Premissas!$B$18</f>
        <v>0</v>
      </c>
      <c r="W68" s="15" t="n">
        <f aca="false">IF(V68&gt;0,DATE(YEAR(B68),MONTH(B68)+1,1)-Premissas!$B$11+1,0)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46371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IF(C69&gt;0,IF(DAY(B69)&lt;=Premissas!$B$12,DATE(YEAR(B69),MONTH(B69),Premissas!$B$13),DATE(YEAR(B69),MONTH(B69)+1,Premissas!$B$13))-Premissas!$B$11+1,0)</f>
        <v>0</v>
      </c>
      <c r="E69" s="12" t="n">
        <f aca="false">-SUMIF($D$5:$D$94,A69,$C$5:$C$94)*(1+Premissas!$B$14)</f>
        <v>-0</v>
      </c>
      <c r="F69" s="12" t="n">
        <f aca="false">-SUMIF($W$5:$W$94,A69,$V$5:$V$94)</f>
        <v>-0</v>
      </c>
      <c r="G69" s="29" t="n">
        <f aca="false">C69/Premissas!$B$15*Premissas!$B$16*Premissas!$B$20</f>
        <v>0</v>
      </c>
      <c r="H69" s="29" t="n">
        <f aca="false">C69/Premissas!$B$15*Premissas!$B$16*Premissas!$B$21</f>
        <v>0</v>
      </c>
      <c r="I69" s="12" t="n">
        <f aca="false">-G69*(Premissas!$B$54*Unitário!$B$22+Premissas!$B$55*Unitário!$B$23)</f>
        <v>-0</v>
      </c>
      <c r="J69" s="12" t="n">
        <f aca="false">IF($A69-(Premissas!$B$49)&gt;=1,INDEX($G$5:$G$94,$A69-(Premissas!$B$49)),0)*Premissas!$B$23*((Premissas!$B$54*Unitário!$B$22+Premissas!$B$55*Unitário!$B$23)-Premissas!$B$35)</f>
        <v>0</v>
      </c>
      <c r="K69" s="12" t="n">
        <f aca="false">IF($A69-(Premissas!$B$49+Premissas!$B$52)&gt;=1,INDEX($G$5:$G$94,$A69-(Premissas!$B$49+Premissas!$B$52)),0)*Premissas!$B$24*((Premissas!$B$54*Unitário!$B$22+Premissas!$B$55*Unitário!$B$23)-Premissas!$B$36)</f>
        <v>0</v>
      </c>
      <c r="L69" s="12" t="n">
        <f aca="false">IF($A69-(Premissas!$B$49+Premissas!$B$50)&gt;=1,INDEX($G$5:$G$94,$A69-(Premissas!$B$49+Premissas!$B$50)),0)*Unitário!$B$21*(Premissas!$B$46-(1-Premissas!$B$55)*Unitário!$B$23-(1-Premissas!$B$54)*Unitário!$B$22)</f>
        <v>0</v>
      </c>
      <c r="M69" s="12" t="n">
        <f aca="false">IF($A69-(Premissas!$B$51)&gt;=1,INDEX($H$5:$H$94,$A69-(Premissas!$B$51)),0)*(Premissas!$B$47-Unitário!$B$25)</f>
        <v>0</v>
      </c>
      <c r="N69" s="12" t="n">
        <f aca="false">-H69*(Premissas!$B$54*Unitário!$B$22+Premissas!$B$28)</f>
        <v>-0</v>
      </c>
      <c r="O69" s="12" t="n">
        <f aca="false">IF($A69-(Premissas!$B$49+Premissas!$B$52)&gt;=1,INDEX($H$5:$H$94,$A69-(Premissas!$B$49+Premissas!$B$52)),0)*Premissas!$B$24*(-Premissas!$B$47-Premissas!$B$36+Premissas!$B$28+Premissas!$B$54*Unitário!$B$22)</f>
        <v>-0</v>
      </c>
      <c r="P69" s="12" t="n">
        <f aca="false">-Premissas!$B$37*(IF($A69-(Premissas!$B$49+Premissas!$B$50)&gt;=1,INDEX($G$5:$G$94,$A69-(Premissas!$B$49+Premissas!$B$50)),0)*Unitário!$B$21*Premissas!$B$46+IF($A69-(Premissas!$B$51)&gt;=1,INDEX($H$5:$H$94,$A69-(Premissas!$B$51)),0)*(1-Premissas!$B$24)*Premissas!$B$47)</f>
        <v>-0</v>
      </c>
      <c r="Q69" s="12" t="n">
        <f aca="false">IF(DAY(B69)=1,-(Premissas!$B$38+Premissas!$B$59*Premissas!$B$60),0)</f>
        <v>0</v>
      </c>
      <c r="R69" s="12" t="n">
        <f aca="false">E69+F69+SUM(I69:Q69)</f>
        <v>0</v>
      </c>
      <c r="S69" s="12" t="n">
        <f aca="false">S68+R69</f>
        <v>1225.5702628</v>
      </c>
      <c r="T69" s="15" t="n">
        <f aca="false">IF(AND($A69&gt;$B$100,S69&gt;=0),1,0)</f>
        <v>1</v>
      </c>
      <c r="U69" s="12" t="n">
        <f aca="false">S69-SUM($E$5:E69)-(1+Premissas!$B$14)*SUM($C$5:C69)</f>
        <v>1225.5702628</v>
      </c>
      <c r="V69" s="12" t="n">
        <f aca="false">C69/Premissas!$B$15*Premissas!$B$17+(G69+H69)*Premissas!$B$18</f>
        <v>0</v>
      </c>
      <c r="W69" s="15" t="n">
        <f aca="false">IF(V69&gt;0,DATE(YEAR(B69),MONTH(B69)+1,1)-Premissas!$B$11+1,0)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46372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IF(C70&gt;0,IF(DAY(B70)&lt;=Premissas!$B$12,DATE(YEAR(B70),MONTH(B70),Premissas!$B$13),DATE(YEAR(B70),MONTH(B70)+1,Premissas!$B$13))-Premissas!$B$11+1,0)</f>
        <v>0</v>
      </c>
      <c r="E70" s="12" t="n">
        <f aca="false">-SUMIF($D$5:$D$94,A70,$C$5:$C$94)*(1+Premissas!$B$14)</f>
        <v>-0</v>
      </c>
      <c r="F70" s="12" t="n">
        <f aca="false">-SUMIF($W$5:$W$94,A70,$V$5:$V$94)</f>
        <v>-0</v>
      </c>
      <c r="G70" s="29" t="n">
        <f aca="false">C70/Premissas!$B$15*Premissas!$B$16*Premissas!$B$20</f>
        <v>0</v>
      </c>
      <c r="H70" s="29" t="n">
        <f aca="false">C70/Premissas!$B$15*Premissas!$B$16*Premissas!$B$21</f>
        <v>0</v>
      </c>
      <c r="I70" s="12" t="n">
        <f aca="false">-G70*(Premissas!$B$54*Unitário!$B$22+Premissas!$B$55*Unitário!$B$23)</f>
        <v>-0</v>
      </c>
      <c r="J70" s="12" t="n">
        <f aca="false">IF($A70-(Premissas!$B$49)&gt;=1,INDEX($G$5:$G$94,$A70-(Premissas!$B$49)),0)*Premissas!$B$23*((Premissas!$B$54*Unitário!$B$22+Premissas!$B$55*Unitário!$B$23)-Premissas!$B$35)</f>
        <v>0</v>
      </c>
      <c r="K70" s="12" t="n">
        <f aca="false">IF($A70-(Premissas!$B$49+Premissas!$B$52)&gt;=1,INDEX($G$5:$G$94,$A70-(Premissas!$B$49+Premissas!$B$52)),0)*Premissas!$B$24*((Premissas!$B$54*Unitário!$B$22+Premissas!$B$55*Unitário!$B$23)-Premissas!$B$36)</f>
        <v>0</v>
      </c>
      <c r="L70" s="12" t="n">
        <f aca="false">IF($A70-(Premissas!$B$49+Premissas!$B$50)&gt;=1,INDEX($G$5:$G$94,$A70-(Premissas!$B$49+Premissas!$B$50)),0)*Unitário!$B$21*(Premissas!$B$46-(1-Premissas!$B$55)*Unitário!$B$23-(1-Premissas!$B$54)*Unitário!$B$22)</f>
        <v>0</v>
      </c>
      <c r="M70" s="12" t="n">
        <f aca="false">IF($A70-(Premissas!$B$51)&gt;=1,INDEX($H$5:$H$94,$A70-(Premissas!$B$51)),0)*(Premissas!$B$47-Unitário!$B$25)</f>
        <v>0</v>
      </c>
      <c r="N70" s="12" t="n">
        <f aca="false">-H70*(Premissas!$B$54*Unitário!$B$22+Premissas!$B$28)</f>
        <v>-0</v>
      </c>
      <c r="O70" s="12" t="n">
        <f aca="false">IF($A70-(Premissas!$B$49+Premissas!$B$52)&gt;=1,INDEX($H$5:$H$94,$A70-(Premissas!$B$49+Premissas!$B$52)),0)*Premissas!$B$24*(-Premissas!$B$47-Premissas!$B$36+Premissas!$B$28+Premissas!$B$54*Unitário!$B$22)</f>
        <v>-0</v>
      </c>
      <c r="P70" s="12" t="n">
        <f aca="false">-Premissas!$B$37*(IF($A70-(Premissas!$B$49+Premissas!$B$50)&gt;=1,INDEX($G$5:$G$94,$A70-(Premissas!$B$49+Premissas!$B$50)),0)*Unitário!$B$21*Premissas!$B$46+IF($A70-(Premissas!$B$51)&gt;=1,INDEX($H$5:$H$94,$A70-(Premissas!$B$51)),0)*(1-Premissas!$B$24)*Premissas!$B$47)</f>
        <v>-0</v>
      </c>
      <c r="Q70" s="12" t="n">
        <f aca="false">IF(DAY(B70)=1,-(Premissas!$B$38+Premissas!$B$59*Premissas!$B$60),0)</f>
        <v>0</v>
      </c>
      <c r="R70" s="12" t="n">
        <f aca="false">E70+F70+SUM(I70:Q70)</f>
        <v>0</v>
      </c>
      <c r="S70" s="12" t="n">
        <f aca="false">S69+R70</f>
        <v>1225.5702628</v>
      </c>
      <c r="T70" s="15" t="n">
        <f aca="false">IF(AND($A70&gt;$B$100,S70&gt;=0),1,0)</f>
        <v>1</v>
      </c>
      <c r="U70" s="12" t="n">
        <f aca="false">S70-SUM($E$5:E70)-(1+Premissas!$B$14)*SUM($C$5:C70)</f>
        <v>1225.5702628</v>
      </c>
      <c r="V70" s="12" t="n">
        <f aca="false">C70/Premissas!$B$15*Premissas!$B$17+(G70+H70)*Premissas!$B$18</f>
        <v>0</v>
      </c>
      <c r="W70" s="15" t="n">
        <f aca="false">IF(V70&gt;0,DATE(YEAR(B70),MONTH(B70)+1,1)-Premissas!$B$11+1,0)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46373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IF(C71&gt;0,IF(DAY(B71)&lt;=Premissas!$B$12,DATE(YEAR(B71),MONTH(B71),Premissas!$B$13),DATE(YEAR(B71),MONTH(B71)+1,Premissas!$B$13))-Premissas!$B$11+1,0)</f>
        <v>0</v>
      </c>
      <c r="E71" s="12" t="n">
        <f aca="false">-SUMIF($D$5:$D$94,A71,$C$5:$C$94)*(1+Premissas!$B$14)</f>
        <v>-0</v>
      </c>
      <c r="F71" s="12" t="n">
        <f aca="false">-SUMIF($W$5:$W$94,A71,$V$5:$V$94)</f>
        <v>-0</v>
      </c>
      <c r="G71" s="29" t="n">
        <f aca="false">C71/Premissas!$B$15*Premissas!$B$16*Premissas!$B$20</f>
        <v>0</v>
      </c>
      <c r="H71" s="29" t="n">
        <f aca="false">C71/Premissas!$B$15*Premissas!$B$16*Premissas!$B$21</f>
        <v>0</v>
      </c>
      <c r="I71" s="12" t="n">
        <f aca="false">-G71*(Premissas!$B$54*Unitário!$B$22+Premissas!$B$55*Unitário!$B$23)</f>
        <v>-0</v>
      </c>
      <c r="J71" s="12" t="n">
        <f aca="false">IF($A71-(Premissas!$B$49)&gt;=1,INDEX($G$5:$G$94,$A71-(Premissas!$B$49)),0)*Premissas!$B$23*((Premissas!$B$54*Unitário!$B$22+Premissas!$B$55*Unitário!$B$23)-Premissas!$B$35)</f>
        <v>0</v>
      </c>
      <c r="K71" s="12" t="n">
        <f aca="false">IF($A71-(Premissas!$B$49+Premissas!$B$52)&gt;=1,INDEX($G$5:$G$94,$A71-(Premissas!$B$49+Premissas!$B$52)),0)*Premissas!$B$24*((Premissas!$B$54*Unitário!$B$22+Premissas!$B$55*Unitário!$B$23)-Premissas!$B$36)</f>
        <v>0</v>
      </c>
      <c r="L71" s="12" t="n">
        <f aca="false">IF($A71-(Premissas!$B$49+Premissas!$B$50)&gt;=1,INDEX($G$5:$G$94,$A71-(Premissas!$B$49+Premissas!$B$50)),0)*Unitário!$B$21*(Premissas!$B$46-(1-Premissas!$B$55)*Unitário!$B$23-(1-Premissas!$B$54)*Unitário!$B$22)</f>
        <v>0</v>
      </c>
      <c r="M71" s="12" t="n">
        <f aca="false">IF($A71-(Premissas!$B$51)&gt;=1,INDEX($H$5:$H$94,$A71-(Premissas!$B$51)),0)*(Premissas!$B$47-Unitário!$B$25)</f>
        <v>0</v>
      </c>
      <c r="N71" s="12" t="n">
        <f aca="false">-H71*(Premissas!$B$54*Unitário!$B$22+Premissas!$B$28)</f>
        <v>-0</v>
      </c>
      <c r="O71" s="12" t="n">
        <f aca="false">IF($A71-(Premissas!$B$49+Premissas!$B$52)&gt;=1,INDEX($H$5:$H$94,$A71-(Premissas!$B$49+Premissas!$B$52)),0)*Premissas!$B$24*(-Premissas!$B$47-Premissas!$B$36+Premissas!$B$28+Premissas!$B$54*Unitário!$B$22)</f>
        <v>-0</v>
      </c>
      <c r="P71" s="12" t="n">
        <f aca="false">-Premissas!$B$37*(IF($A71-(Premissas!$B$49+Premissas!$B$50)&gt;=1,INDEX($G$5:$G$94,$A71-(Premissas!$B$49+Premissas!$B$50)),0)*Unitário!$B$21*Premissas!$B$46+IF($A71-(Premissas!$B$51)&gt;=1,INDEX($H$5:$H$94,$A71-(Premissas!$B$51)),0)*(1-Premissas!$B$24)*Premissas!$B$47)</f>
        <v>-0</v>
      </c>
      <c r="Q71" s="12" t="n">
        <f aca="false">IF(DAY(B71)=1,-(Premissas!$B$38+Premissas!$B$59*Premissas!$B$60),0)</f>
        <v>0</v>
      </c>
      <c r="R71" s="12" t="n">
        <f aca="false">E71+F71+SUM(I71:Q71)</f>
        <v>0</v>
      </c>
      <c r="S71" s="12" t="n">
        <f aca="false">S70+R71</f>
        <v>1225.5702628</v>
      </c>
      <c r="T71" s="15" t="n">
        <f aca="false">IF(AND($A71&gt;$B$100,S71&gt;=0),1,0)</f>
        <v>1</v>
      </c>
      <c r="U71" s="12" t="n">
        <f aca="false">S71-SUM($E$5:E71)-(1+Premissas!$B$14)*SUM($C$5:C71)</f>
        <v>1225.5702628</v>
      </c>
      <c r="V71" s="12" t="n">
        <f aca="false">C71/Premissas!$B$15*Premissas!$B$17+(G71+H71)*Premissas!$B$18</f>
        <v>0</v>
      </c>
      <c r="W71" s="15" t="n">
        <f aca="false">IF(V71&gt;0,DATE(YEAR(B71),MONTH(B71)+1,1)-Premissas!$B$11+1,0)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46374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IF(C72&gt;0,IF(DAY(B72)&lt;=Premissas!$B$12,DATE(YEAR(B72),MONTH(B72),Premissas!$B$13),DATE(YEAR(B72),MONTH(B72)+1,Premissas!$B$13))-Premissas!$B$11+1,0)</f>
        <v>0</v>
      </c>
      <c r="E72" s="12" t="n">
        <f aca="false">-SUMIF($D$5:$D$94,A72,$C$5:$C$94)*(1+Premissas!$B$14)</f>
        <v>-0</v>
      </c>
      <c r="F72" s="12" t="n">
        <f aca="false">-SUMIF($W$5:$W$94,A72,$V$5:$V$94)</f>
        <v>-0</v>
      </c>
      <c r="G72" s="29" t="n">
        <f aca="false">C72/Premissas!$B$15*Premissas!$B$16*Premissas!$B$20</f>
        <v>0</v>
      </c>
      <c r="H72" s="29" t="n">
        <f aca="false">C72/Premissas!$B$15*Premissas!$B$16*Premissas!$B$21</f>
        <v>0</v>
      </c>
      <c r="I72" s="12" t="n">
        <f aca="false">-G72*(Premissas!$B$54*Unitário!$B$22+Premissas!$B$55*Unitário!$B$23)</f>
        <v>-0</v>
      </c>
      <c r="J72" s="12" t="n">
        <f aca="false">IF($A72-(Premissas!$B$49)&gt;=1,INDEX($G$5:$G$94,$A72-(Premissas!$B$49)),0)*Premissas!$B$23*((Premissas!$B$54*Unitário!$B$22+Premissas!$B$55*Unitário!$B$23)-Premissas!$B$35)</f>
        <v>0</v>
      </c>
      <c r="K72" s="12" t="n">
        <f aca="false">IF($A72-(Premissas!$B$49+Premissas!$B$52)&gt;=1,INDEX($G$5:$G$94,$A72-(Premissas!$B$49+Premissas!$B$52)),0)*Premissas!$B$24*((Premissas!$B$54*Unitário!$B$22+Premissas!$B$55*Unitário!$B$23)-Premissas!$B$36)</f>
        <v>0</v>
      </c>
      <c r="L72" s="12" t="n">
        <f aca="false">IF($A72-(Premissas!$B$49+Premissas!$B$50)&gt;=1,INDEX($G$5:$G$94,$A72-(Premissas!$B$49+Premissas!$B$50)),0)*Unitário!$B$21*(Premissas!$B$46-(1-Premissas!$B$55)*Unitário!$B$23-(1-Premissas!$B$54)*Unitário!$B$22)</f>
        <v>0</v>
      </c>
      <c r="M72" s="12" t="n">
        <f aca="false">IF($A72-(Premissas!$B$51)&gt;=1,INDEX($H$5:$H$94,$A72-(Premissas!$B$51)),0)*(Premissas!$B$47-Unitário!$B$25)</f>
        <v>0</v>
      </c>
      <c r="N72" s="12" t="n">
        <f aca="false">-H72*(Premissas!$B$54*Unitário!$B$22+Premissas!$B$28)</f>
        <v>-0</v>
      </c>
      <c r="O72" s="12" t="n">
        <f aca="false">IF($A72-(Premissas!$B$49+Premissas!$B$52)&gt;=1,INDEX($H$5:$H$94,$A72-(Premissas!$B$49+Premissas!$B$52)),0)*Premissas!$B$24*(-Premissas!$B$47-Premissas!$B$36+Premissas!$B$28+Premissas!$B$54*Unitário!$B$22)</f>
        <v>-0</v>
      </c>
      <c r="P72" s="12" t="n">
        <f aca="false">-Premissas!$B$37*(IF($A72-(Premissas!$B$49+Premissas!$B$50)&gt;=1,INDEX($G$5:$G$94,$A72-(Premissas!$B$49+Premissas!$B$50)),0)*Unitário!$B$21*Premissas!$B$46+IF($A72-(Premissas!$B$51)&gt;=1,INDEX($H$5:$H$94,$A72-(Premissas!$B$51)),0)*(1-Premissas!$B$24)*Premissas!$B$47)</f>
        <v>-0</v>
      </c>
      <c r="Q72" s="12" t="n">
        <f aca="false">IF(DAY(B72)=1,-(Premissas!$B$38+Premissas!$B$59*Premissas!$B$60),0)</f>
        <v>0</v>
      </c>
      <c r="R72" s="12" t="n">
        <f aca="false">E72+F72+SUM(I72:Q72)</f>
        <v>0</v>
      </c>
      <c r="S72" s="12" t="n">
        <f aca="false">S71+R72</f>
        <v>1225.5702628</v>
      </c>
      <c r="T72" s="15" t="n">
        <f aca="false">IF(AND($A72&gt;$B$100,S72&gt;=0),1,0)</f>
        <v>1</v>
      </c>
      <c r="U72" s="12" t="n">
        <f aca="false">S72-SUM($E$5:E72)-(1+Premissas!$B$14)*SUM($C$5:C72)</f>
        <v>1225.5702628</v>
      </c>
      <c r="V72" s="12" t="n">
        <f aca="false">C72/Premissas!$B$15*Premissas!$B$17+(G72+H72)*Premissas!$B$18</f>
        <v>0</v>
      </c>
      <c r="W72" s="15" t="n">
        <f aca="false">IF(V72&gt;0,DATE(YEAR(B72),MONTH(B72)+1,1)-Premissas!$B$11+1,0)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46375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IF(C73&gt;0,IF(DAY(B73)&lt;=Premissas!$B$12,DATE(YEAR(B73),MONTH(B73),Premissas!$B$13),DATE(YEAR(B73),MONTH(B73)+1,Premissas!$B$13))-Premissas!$B$11+1,0)</f>
        <v>0</v>
      </c>
      <c r="E73" s="12" t="n">
        <f aca="false">-SUMIF($D$5:$D$94,A73,$C$5:$C$94)*(1+Premissas!$B$14)</f>
        <v>-0</v>
      </c>
      <c r="F73" s="12" t="n">
        <f aca="false">-SUMIF($W$5:$W$94,A73,$V$5:$V$94)</f>
        <v>-0</v>
      </c>
      <c r="G73" s="29" t="n">
        <f aca="false">C73/Premissas!$B$15*Premissas!$B$16*Premissas!$B$20</f>
        <v>0</v>
      </c>
      <c r="H73" s="29" t="n">
        <f aca="false">C73/Premissas!$B$15*Premissas!$B$16*Premissas!$B$21</f>
        <v>0</v>
      </c>
      <c r="I73" s="12" t="n">
        <f aca="false">-G73*(Premissas!$B$54*Unitário!$B$22+Premissas!$B$55*Unitário!$B$23)</f>
        <v>-0</v>
      </c>
      <c r="J73" s="12" t="n">
        <f aca="false">IF($A73-(Premissas!$B$49)&gt;=1,INDEX($G$5:$G$94,$A73-(Premissas!$B$49)),0)*Premissas!$B$23*((Premissas!$B$54*Unitário!$B$22+Premissas!$B$55*Unitário!$B$23)-Premissas!$B$35)</f>
        <v>0</v>
      </c>
      <c r="K73" s="12" t="n">
        <f aca="false">IF($A73-(Premissas!$B$49+Premissas!$B$52)&gt;=1,INDEX($G$5:$G$94,$A73-(Premissas!$B$49+Premissas!$B$52)),0)*Premissas!$B$24*((Premissas!$B$54*Unitário!$B$22+Premissas!$B$55*Unitário!$B$23)-Premissas!$B$36)</f>
        <v>0</v>
      </c>
      <c r="L73" s="12" t="n">
        <f aca="false">IF($A73-(Premissas!$B$49+Premissas!$B$50)&gt;=1,INDEX($G$5:$G$94,$A73-(Premissas!$B$49+Premissas!$B$50)),0)*Unitário!$B$21*(Premissas!$B$46-(1-Premissas!$B$55)*Unitário!$B$23-(1-Premissas!$B$54)*Unitário!$B$22)</f>
        <v>0</v>
      </c>
      <c r="M73" s="12" t="n">
        <f aca="false">IF($A73-(Premissas!$B$51)&gt;=1,INDEX($H$5:$H$94,$A73-(Premissas!$B$51)),0)*(Premissas!$B$47-Unitário!$B$25)</f>
        <v>0</v>
      </c>
      <c r="N73" s="12" t="n">
        <f aca="false">-H73*(Premissas!$B$54*Unitário!$B$22+Premissas!$B$28)</f>
        <v>-0</v>
      </c>
      <c r="O73" s="12" t="n">
        <f aca="false">IF($A73-(Premissas!$B$49+Premissas!$B$52)&gt;=1,INDEX($H$5:$H$94,$A73-(Premissas!$B$49+Premissas!$B$52)),0)*Premissas!$B$24*(-Premissas!$B$47-Premissas!$B$36+Premissas!$B$28+Premissas!$B$54*Unitário!$B$22)</f>
        <v>-0</v>
      </c>
      <c r="P73" s="12" t="n">
        <f aca="false">-Premissas!$B$37*(IF($A73-(Premissas!$B$49+Premissas!$B$50)&gt;=1,INDEX($G$5:$G$94,$A73-(Premissas!$B$49+Premissas!$B$50)),0)*Unitário!$B$21*Premissas!$B$46+IF($A73-(Premissas!$B$51)&gt;=1,INDEX($H$5:$H$94,$A73-(Premissas!$B$51)),0)*(1-Premissas!$B$24)*Premissas!$B$47)</f>
        <v>-0</v>
      </c>
      <c r="Q73" s="12" t="n">
        <f aca="false">IF(DAY(B73)=1,-(Premissas!$B$38+Premissas!$B$59*Premissas!$B$60),0)</f>
        <v>0</v>
      </c>
      <c r="R73" s="12" t="n">
        <f aca="false">E73+F73+SUM(I73:Q73)</f>
        <v>0</v>
      </c>
      <c r="S73" s="12" t="n">
        <f aca="false">S72+R73</f>
        <v>1225.5702628</v>
      </c>
      <c r="T73" s="15" t="n">
        <f aca="false">IF(AND($A73&gt;$B$100,S73&gt;=0),1,0)</f>
        <v>1</v>
      </c>
      <c r="U73" s="12" t="n">
        <f aca="false">S73-SUM($E$5:E73)-(1+Premissas!$B$14)*SUM($C$5:C73)</f>
        <v>1225.5702628</v>
      </c>
      <c r="V73" s="12" t="n">
        <f aca="false">C73/Premissas!$B$15*Premissas!$B$17+(G73+H73)*Premissas!$B$18</f>
        <v>0</v>
      </c>
      <c r="W73" s="15" t="n">
        <f aca="false">IF(V73&gt;0,DATE(YEAR(B73),MONTH(B73)+1,1)-Premissas!$B$11+1,0)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46376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IF(C74&gt;0,IF(DAY(B74)&lt;=Premissas!$B$12,DATE(YEAR(B74),MONTH(B74),Premissas!$B$13),DATE(YEAR(B74),MONTH(B74)+1,Premissas!$B$13))-Premissas!$B$11+1,0)</f>
        <v>0</v>
      </c>
      <c r="E74" s="12" t="n">
        <f aca="false">-SUMIF($D$5:$D$94,A74,$C$5:$C$94)*(1+Premissas!$B$14)</f>
        <v>-0</v>
      </c>
      <c r="F74" s="12" t="n">
        <f aca="false">-SUMIF($W$5:$W$94,A74,$V$5:$V$94)</f>
        <v>-0</v>
      </c>
      <c r="G74" s="29" t="n">
        <f aca="false">C74/Premissas!$B$15*Premissas!$B$16*Premissas!$B$20</f>
        <v>0</v>
      </c>
      <c r="H74" s="29" t="n">
        <f aca="false">C74/Premissas!$B$15*Premissas!$B$16*Premissas!$B$21</f>
        <v>0</v>
      </c>
      <c r="I74" s="12" t="n">
        <f aca="false">-G74*(Premissas!$B$54*Unitário!$B$22+Premissas!$B$55*Unitário!$B$23)</f>
        <v>-0</v>
      </c>
      <c r="J74" s="12" t="n">
        <f aca="false">IF($A74-(Premissas!$B$49)&gt;=1,INDEX($G$5:$G$94,$A74-(Premissas!$B$49)),0)*Premissas!$B$23*((Premissas!$B$54*Unitário!$B$22+Premissas!$B$55*Unitário!$B$23)-Premissas!$B$35)</f>
        <v>0</v>
      </c>
      <c r="K74" s="12" t="n">
        <f aca="false">IF($A74-(Premissas!$B$49+Premissas!$B$52)&gt;=1,INDEX($G$5:$G$94,$A74-(Premissas!$B$49+Premissas!$B$52)),0)*Premissas!$B$24*((Premissas!$B$54*Unitário!$B$22+Premissas!$B$55*Unitário!$B$23)-Premissas!$B$36)</f>
        <v>0</v>
      </c>
      <c r="L74" s="12" t="n">
        <f aca="false">IF($A74-(Premissas!$B$49+Premissas!$B$50)&gt;=1,INDEX($G$5:$G$94,$A74-(Premissas!$B$49+Premissas!$B$50)),0)*Unitário!$B$21*(Premissas!$B$46-(1-Premissas!$B$55)*Unitário!$B$23-(1-Premissas!$B$54)*Unitário!$B$22)</f>
        <v>0</v>
      </c>
      <c r="M74" s="12" t="n">
        <f aca="false">IF($A74-(Premissas!$B$51)&gt;=1,INDEX($H$5:$H$94,$A74-(Premissas!$B$51)),0)*(Premissas!$B$47-Unitário!$B$25)</f>
        <v>0</v>
      </c>
      <c r="N74" s="12" t="n">
        <f aca="false">-H74*(Premissas!$B$54*Unitário!$B$22+Premissas!$B$28)</f>
        <v>-0</v>
      </c>
      <c r="O74" s="12" t="n">
        <f aca="false">IF($A74-(Premissas!$B$49+Premissas!$B$52)&gt;=1,INDEX($H$5:$H$94,$A74-(Premissas!$B$49+Premissas!$B$52)),0)*Premissas!$B$24*(-Premissas!$B$47-Premissas!$B$36+Premissas!$B$28+Premissas!$B$54*Unitário!$B$22)</f>
        <v>-0</v>
      </c>
      <c r="P74" s="12" t="n">
        <f aca="false">-Premissas!$B$37*(IF($A74-(Premissas!$B$49+Premissas!$B$50)&gt;=1,INDEX($G$5:$G$94,$A74-(Premissas!$B$49+Premissas!$B$50)),0)*Unitário!$B$21*Premissas!$B$46+IF($A74-(Premissas!$B$51)&gt;=1,INDEX($H$5:$H$94,$A74-(Premissas!$B$51)),0)*(1-Premissas!$B$24)*Premissas!$B$47)</f>
        <v>-0</v>
      </c>
      <c r="Q74" s="12" t="n">
        <f aca="false">IF(DAY(B74)=1,-(Premissas!$B$38+Premissas!$B$59*Premissas!$B$60),0)</f>
        <v>0</v>
      </c>
      <c r="R74" s="12" t="n">
        <f aca="false">E74+F74+SUM(I74:Q74)</f>
        <v>0</v>
      </c>
      <c r="S74" s="12" t="n">
        <f aca="false">S73+R74</f>
        <v>1225.5702628</v>
      </c>
      <c r="T74" s="15" t="n">
        <f aca="false">IF(AND($A74&gt;$B$100,S74&gt;=0),1,0)</f>
        <v>1</v>
      </c>
      <c r="U74" s="12" t="n">
        <f aca="false">S74-SUM($E$5:E74)-(1+Premissas!$B$14)*SUM($C$5:C74)</f>
        <v>1225.5702628</v>
      </c>
      <c r="V74" s="12" t="n">
        <f aca="false">C74/Premissas!$B$15*Premissas!$B$17+(G74+H74)*Premissas!$B$18</f>
        <v>0</v>
      </c>
      <c r="W74" s="15" t="n">
        <f aca="false">IF(V74&gt;0,DATE(YEAR(B74),MONTH(B74)+1,1)-Premissas!$B$11+1,0)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46377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IF(C75&gt;0,IF(DAY(B75)&lt;=Premissas!$B$12,DATE(YEAR(B75),MONTH(B75),Premissas!$B$13),DATE(YEAR(B75),MONTH(B75)+1,Premissas!$B$13))-Premissas!$B$11+1,0)</f>
        <v>0</v>
      </c>
      <c r="E75" s="12" t="n">
        <f aca="false">-SUMIF($D$5:$D$94,A75,$C$5:$C$94)*(1+Premissas!$B$14)</f>
        <v>-0</v>
      </c>
      <c r="F75" s="12" t="n">
        <f aca="false">-SUMIF($W$5:$W$94,A75,$V$5:$V$94)</f>
        <v>-0</v>
      </c>
      <c r="G75" s="29" t="n">
        <f aca="false">C75/Premissas!$B$15*Premissas!$B$16*Premissas!$B$20</f>
        <v>0</v>
      </c>
      <c r="H75" s="29" t="n">
        <f aca="false">C75/Premissas!$B$15*Premissas!$B$16*Premissas!$B$21</f>
        <v>0</v>
      </c>
      <c r="I75" s="12" t="n">
        <f aca="false">-G75*(Premissas!$B$54*Unitário!$B$22+Premissas!$B$55*Unitário!$B$23)</f>
        <v>-0</v>
      </c>
      <c r="J75" s="12" t="n">
        <f aca="false">IF($A75-(Premissas!$B$49)&gt;=1,INDEX($G$5:$G$94,$A75-(Premissas!$B$49)),0)*Premissas!$B$23*((Premissas!$B$54*Unitário!$B$22+Premissas!$B$55*Unitário!$B$23)-Premissas!$B$35)</f>
        <v>0</v>
      </c>
      <c r="K75" s="12" t="n">
        <f aca="false">IF($A75-(Premissas!$B$49+Premissas!$B$52)&gt;=1,INDEX($G$5:$G$94,$A75-(Premissas!$B$49+Premissas!$B$52)),0)*Premissas!$B$24*((Premissas!$B$54*Unitário!$B$22+Premissas!$B$55*Unitário!$B$23)-Premissas!$B$36)</f>
        <v>0</v>
      </c>
      <c r="L75" s="12" t="n">
        <f aca="false">IF($A75-(Premissas!$B$49+Premissas!$B$50)&gt;=1,INDEX($G$5:$G$94,$A75-(Premissas!$B$49+Premissas!$B$50)),0)*Unitário!$B$21*(Premissas!$B$46-(1-Premissas!$B$55)*Unitário!$B$23-(1-Premissas!$B$54)*Unitário!$B$22)</f>
        <v>0</v>
      </c>
      <c r="M75" s="12" t="n">
        <f aca="false">IF($A75-(Premissas!$B$51)&gt;=1,INDEX($H$5:$H$94,$A75-(Premissas!$B$51)),0)*(Premissas!$B$47-Unitário!$B$25)</f>
        <v>0</v>
      </c>
      <c r="N75" s="12" t="n">
        <f aca="false">-H75*(Premissas!$B$54*Unitário!$B$22+Premissas!$B$28)</f>
        <v>-0</v>
      </c>
      <c r="O75" s="12" t="n">
        <f aca="false">IF($A75-(Premissas!$B$49+Premissas!$B$52)&gt;=1,INDEX($H$5:$H$94,$A75-(Premissas!$B$49+Premissas!$B$52)),0)*Premissas!$B$24*(-Premissas!$B$47-Premissas!$B$36+Premissas!$B$28+Premissas!$B$54*Unitário!$B$22)</f>
        <v>-0</v>
      </c>
      <c r="P75" s="12" t="n">
        <f aca="false">-Premissas!$B$37*(IF($A75-(Premissas!$B$49+Premissas!$B$50)&gt;=1,INDEX($G$5:$G$94,$A75-(Premissas!$B$49+Premissas!$B$50)),0)*Unitário!$B$21*Premissas!$B$46+IF($A75-(Premissas!$B$51)&gt;=1,INDEX($H$5:$H$94,$A75-(Premissas!$B$51)),0)*(1-Premissas!$B$24)*Premissas!$B$47)</f>
        <v>-0</v>
      </c>
      <c r="Q75" s="12" t="n">
        <f aca="false">IF(DAY(B75)=1,-(Premissas!$B$38+Premissas!$B$59*Premissas!$B$60),0)</f>
        <v>0</v>
      </c>
      <c r="R75" s="12" t="n">
        <f aca="false">E75+F75+SUM(I75:Q75)</f>
        <v>0</v>
      </c>
      <c r="S75" s="12" t="n">
        <f aca="false">S74+R75</f>
        <v>1225.5702628</v>
      </c>
      <c r="T75" s="15" t="n">
        <f aca="false">IF(AND($A75&gt;$B$100,S75&gt;=0),1,0)</f>
        <v>1</v>
      </c>
      <c r="U75" s="12" t="n">
        <f aca="false">S75-SUM($E$5:E75)-(1+Premissas!$B$14)*SUM($C$5:C75)</f>
        <v>1225.5702628</v>
      </c>
      <c r="V75" s="12" t="n">
        <f aca="false">C75/Premissas!$B$15*Premissas!$B$17+(G75+H75)*Premissas!$B$18</f>
        <v>0</v>
      </c>
      <c r="W75" s="15" t="n">
        <f aca="false">IF(V75&gt;0,DATE(YEAR(B75),MONTH(B75)+1,1)-Premissas!$B$11+1,0)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46378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IF(C76&gt;0,IF(DAY(B76)&lt;=Premissas!$B$12,DATE(YEAR(B76),MONTH(B76),Premissas!$B$13),DATE(YEAR(B76),MONTH(B76)+1,Premissas!$B$13))-Premissas!$B$11+1,0)</f>
        <v>0</v>
      </c>
      <c r="E76" s="12" t="n">
        <f aca="false">-SUMIF($D$5:$D$94,A76,$C$5:$C$94)*(1+Premissas!$B$14)</f>
        <v>-0</v>
      </c>
      <c r="F76" s="12" t="n">
        <f aca="false">-SUMIF($W$5:$W$94,A76,$V$5:$V$94)</f>
        <v>-0</v>
      </c>
      <c r="G76" s="29" t="n">
        <f aca="false">C76/Premissas!$B$15*Premissas!$B$16*Premissas!$B$20</f>
        <v>0</v>
      </c>
      <c r="H76" s="29" t="n">
        <f aca="false">C76/Premissas!$B$15*Premissas!$B$16*Premissas!$B$21</f>
        <v>0</v>
      </c>
      <c r="I76" s="12" t="n">
        <f aca="false">-G76*(Premissas!$B$54*Unitário!$B$22+Premissas!$B$55*Unitário!$B$23)</f>
        <v>-0</v>
      </c>
      <c r="J76" s="12" t="n">
        <f aca="false">IF($A76-(Premissas!$B$49)&gt;=1,INDEX($G$5:$G$94,$A76-(Premissas!$B$49)),0)*Premissas!$B$23*((Premissas!$B$54*Unitário!$B$22+Premissas!$B$55*Unitário!$B$23)-Premissas!$B$35)</f>
        <v>0</v>
      </c>
      <c r="K76" s="12" t="n">
        <f aca="false">IF($A76-(Premissas!$B$49+Premissas!$B$52)&gt;=1,INDEX($G$5:$G$94,$A76-(Premissas!$B$49+Premissas!$B$52)),0)*Premissas!$B$24*((Premissas!$B$54*Unitário!$B$22+Premissas!$B$55*Unitário!$B$23)-Premissas!$B$36)</f>
        <v>0</v>
      </c>
      <c r="L76" s="12" t="n">
        <f aca="false">IF($A76-(Premissas!$B$49+Premissas!$B$50)&gt;=1,INDEX($G$5:$G$94,$A76-(Premissas!$B$49+Premissas!$B$50)),0)*Unitário!$B$21*(Premissas!$B$46-(1-Premissas!$B$55)*Unitário!$B$23-(1-Premissas!$B$54)*Unitário!$B$22)</f>
        <v>0</v>
      </c>
      <c r="M76" s="12" t="n">
        <f aca="false">IF($A76-(Premissas!$B$51)&gt;=1,INDEX($H$5:$H$94,$A76-(Premissas!$B$51)),0)*(Premissas!$B$47-Unitário!$B$25)</f>
        <v>0</v>
      </c>
      <c r="N76" s="12" t="n">
        <f aca="false">-H76*(Premissas!$B$54*Unitário!$B$22+Premissas!$B$28)</f>
        <v>-0</v>
      </c>
      <c r="O76" s="12" t="n">
        <f aca="false">IF($A76-(Premissas!$B$49+Premissas!$B$52)&gt;=1,INDEX($H$5:$H$94,$A76-(Premissas!$B$49+Premissas!$B$52)),0)*Premissas!$B$24*(-Premissas!$B$47-Premissas!$B$36+Premissas!$B$28+Premissas!$B$54*Unitário!$B$22)</f>
        <v>-0</v>
      </c>
      <c r="P76" s="12" t="n">
        <f aca="false">-Premissas!$B$37*(IF($A76-(Premissas!$B$49+Premissas!$B$50)&gt;=1,INDEX($G$5:$G$94,$A76-(Premissas!$B$49+Premissas!$B$50)),0)*Unitário!$B$21*Premissas!$B$46+IF($A76-(Premissas!$B$51)&gt;=1,INDEX($H$5:$H$94,$A76-(Premissas!$B$51)),0)*(1-Premissas!$B$24)*Premissas!$B$47)</f>
        <v>-0</v>
      </c>
      <c r="Q76" s="12" t="n">
        <f aca="false">IF(DAY(B76)=1,-(Premissas!$B$38+Premissas!$B$59*Premissas!$B$60),0)</f>
        <v>0</v>
      </c>
      <c r="R76" s="12" t="n">
        <f aca="false">E76+F76+SUM(I76:Q76)</f>
        <v>0</v>
      </c>
      <c r="S76" s="12" t="n">
        <f aca="false">S75+R76</f>
        <v>1225.5702628</v>
      </c>
      <c r="T76" s="15" t="n">
        <f aca="false">IF(AND($A76&gt;$B$100,S76&gt;=0),1,0)</f>
        <v>1</v>
      </c>
      <c r="U76" s="12" t="n">
        <f aca="false">S76-SUM($E$5:E76)-(1+Premissas!$B$14)*SUM($C$5:C76)</f>
        <v>1225.5702628</v>
      </c>
      <c r="V76" s="12" t="n">
        <f aca="false">C76/Premissas!$B$15*Premissas!$B$17+(G76+H76)*Premissas!$B$18</f>
        <v>0</v>
      </c>
      <c r="W76" s="15" t="n">
        <f aca="false">IF(V76&gt;0,DATE(YEAR(B76),MONTH(B76)+1,1)-Premissas!$B$11+1,0)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46379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IF(C77&gt;0,IF(DAY(B77)&lt;=Premissas!$B$12,DATE(YEAR(B77),MONTH(B77),Premissas!$B$13),DATE(YEAR(B77),MONTH(B77)+1,Premissas!$B$13))-Premissas!$B$11+1,0)</f>
        <v>0</v>
      </c>
      <c r="E77" s="12" t="n">
        <f aca="false">-SUMIF($D$5:$D$94,A77,$C$5:$C$94)*(1+Premissas!$B$14)</f>
        <v>-0</v>
      </c>
      <c r="F77" s="12" t="n">
        <f aca="false">-SUMIF($W$5:$W$94,A77,$V$5:$V$94)</f>
        <v>-0</v>
      </c>
      <c r="G77" s="29" t="n">
        <f aca="false">C77/Premissas!$B$15*Premissas!$B$16*Premissas!$B$20</f>
        <v>0</v>
      </c>
      <c r="H77" s="29" t="n">
        <f aca="false">C77/Premissas!$B$15*Premissas!$B$16*Premissas!$B$21</f>
        <v>0</v>
      </c>
      <c r="I77" s="12" t="n">
        <f aca="false">-G77*(Premissas!$B$54*Unitário!$B$22+Premissas!$B$55*Unitário!$B$23)</f>
        <v>-0</v>
      </c>
      <c r="J77" s="12" t="n">
        <f aca="false">IF($A77-(Premissas!$B$49)&gt;=1,INDEX($G$5:$G$94,$A77-(Premissas!$B$49)),0)*Premissas!$B$23*((Premissas!$B$54*Unitário!$B$22+Premissas!$B$55*Unitário!$B$23)-Premissas!$B$35)</f>
        <v>0</v>
      </c>
      <c r="K77" s="12" t="n">
        <f aca="false">IF($A77-(Premissas!$B$49+Premissas!$B$52)&gt;=1,INDEX($G$5:$G$94,$A77-(Premissas!$B$49+Premissas!$B$52)),0)*Premissas!$B$24*((Premissas!$B$54*Unitário!$B$22+Premissas!$B$55*Unitário!$B$23)-Premissas!$B$36)</f>
        <v>0</v>
      </c>
      <c r="L77" s="12" t="n">
        <f aca="false">IF($A77-(Premissas!$B$49+Premissas!$B$50)&gt;=1,INDEX($G$5:$G$94,$A77-(Premissas!$B$49+Premissas!$B$50)),0)*Unitário!$B$21*(Premissas!$B$46-(1-Premissas!$B$55)*Unitário!$B$23-(1-Premissas!$B$54)*Unitário!$B$22)</f>
        <v>0</v>
      </c>
      <c r="M77" s="12" t="n">
        <f aca="false">IF($A77-(Premissas!$B$51)&gt;=1,INDEX($H$5:$H$94,$A77-(Premissas!$B$51)),0)*(Premissas!$B$47-Unitário!$B$25)</f>
        <v>0</v>
      </c>
      <c r="N77" s="12" t="n">
        <f aca="false">-H77*(Premissas!$B$54*Unitário!$B$22+Premissas!$B$28)</f>
        <v>-0</v>
      </c>
      <c r="O77" s="12" t="n">
        <f aca="false">IF($A77-(Premissas!$B$49+Premissas!$B$52)&gt;=1,INDEX($H$5:$H$94,$A77-(Premissas!$B$49+Premissas!$B$52)),0)*Premissas!$B$24*(-Premissas!$B$47-Premissas!$B$36+Premissas!$B$28+Premissas!$B$54*Unitário!$B$22)</f>
        <v>-0</v>
      </c>
      <c r="P77" s="12" t="n">
        <f aca="false">-Premissas!$B$37*(IF($A77-(Premissas!$B$49+Premissas!$B$50)&gt;=1,INDEX($G$5:$G$94,$A77-(Premissas!$B$49+Premissas!$B$50)),0)*Unitário!$B$21*Premissas!$B$46+IF($A77-(Premissas!$B$51)&gt;=1,INDEX($H$5:$H$94,$A77-(Premissas!$B$51)),0)*(1-Premissas!$B$24)*Premissas!$B$47)</f>
        <v>-0</v>
      </c>
      <c r="Q77" s="12" t="n">
        <f aca="false">IF(DAY(B77)=1,-(Premissas!$B$38+Premissas!$B$59*Premissas!$B$60),0)</f>
        <v>0</v>
      </c>
      <c r="R77" s="12" t="n">
        <f aca="false">E77+F77+SUM(I77:Q77)</f>
        <v>0</v>
      </c>
      <c r="S77" s="12" t="n">
        <f aca="false">S76+R77</f>
        <v>1225.5702628</v>
      </c>
      <c r="T77" s="15" t="n">
        <f aca="false">IF(AND($A77&gt;$B$100,S77&gt;=0),1,0)</f>
        <v>1</v>
      </c>
      <c r="U77" s="12" t="n">
        <f aca="false">S77-SUM($E$5:E77)-(1+Premissas!$B$14)*SUM($C$5:C77)</f>
        <v>1225.5702628</v>
      </c>
      <c r="V77" s="12" t="n">
        <f aca="false">C77/Premissas!$B$15*Premissas!$B$17+(G77+H77)*Premissas!$B$18</f>
        <v>0</v>
      </c>
      <c r="W77" s="15" t="n">
        <f aca="false">IF(V77&gt;0,DATE(YEAR(B77),MONTH(B77)+1,1)-Premissas!$B$11+1,0)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46380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IF(C78&gt;0,IF(DAY(B78)&lt;=Premissas!$B$12,DATE(YEAR(B78),MONTH(B78),Premissas!$B$13),DATE(YEAR(B78),MONTH(B78)+1,Premissas!$B$13))-Premissas!$B$11+1,0)</f>
        <v>0</v>
      </c>
      <c r="E78" s="12" t="n">
        <f aca="false">-SUMIF($D$5:$D$94,A78,$C$5:$C$94)*(1+Premissas!$B$14)</f>
        <v>-0</v>
      </c>
      <c r="F78" s="12" t="n">
        <f aca="false">-SUMIF($W$5:$W$94,A78,$V$5:$V$94)</f>
        <v>-0</v>
      </c>
      <c r="G78" s="29" t="n">
        <f aca="false">C78/Premissas!$B$15*Premissas!$B$16*Premissas!$B$20</f>
        <v>0</v>
      </c>
      <c r="H78" s="29" t="n">
        <f aca="false">C78/Premissas!$B$15*Premissas!$B$16*Premissas!$B$21</f>
        <v>0</v>
      </c>
      <c r="I78" s="12" t="n">
        <f aca="false">-G78*(Premissas!$B$54*Unitário!$B$22+Premissas!$B$55*Unitário!$B$23)</f>
        <v>-0</v>
      </c>
      <c r="J78" s="12" t="n">
        <f aca="false">IF($A78-(Premissas!$B$49)&gt;=1,INDEX($G$5:$G$94,$A78-(Premissas!$B$49)),0)*Premissas!$B$23*((Premissas!$B$54*Unitário!$B$22+Premissas!$B$55*Unitário!$B$23)-Premissas!$B$35)</f>
        <v>0</v>
      </c>
      <c r="K78" s="12" t="n">
        <f aca="false">IF($A78-(Premissas!$B$49+Premissas!$B$52)&gt;=1,INDEX($G$5:$G$94,$A78-(Premissas!$B$49+Premissas!$B$52)),0)*Premissas!$B$24*((Premissas!$B$54*Unitário!$B$22+Premissas!$B$55*Unitário!$B$23)-Premissas!$B$36)</f>
        <v>0</v>
      </c>
      <c r="L78" s="12" t="n">
        <f aca="false">IF($A78-(Premissas!$B$49+Premissas!$B$50)&gt;=1,INDEX($G$5:$G$94,$A78-(Premissas!$B$49+Premissas!$B$50)),0)*Unitário!$B$21*(Premissas!$B$46-(1-Premissas!$B$55)*Unitário!$B$23-(1-Premissas!$B$54)*Unitário!$B$22)</f>
        <v>0</v>
      </c>
      <c r="M78" s="12" t="n">
        <f aca="false">IF($A78-(Premissas!$B$51)&gt;=1,INDEX($H$5:$H$94,$A78-(Premissas!$B$51)),0)*(Premissas!$B$47-Unitário!$B$25)</f>
        <v>0</v>
      </c>
      <c r="N78" s="12" t="n">
        <f aca="false">-H78*(Premissas!$B$54*Unitário!$B$22+Premissas!$B$28)</f>
        <v>-0</v>
      </c>
      <c r="O78" s="12" t="n">
        <f aca="false">IF($A78-(Premissas!$B$49+Premissas!$B$52)&gt;=1,INDEX($H$5:$H$94,$A78-(Premissas!$B$49+Premissas!$B$52)),0)*Premissas!$B$24*(-Premissas!$B$47-Premissas!$B$36+Premissas!$B$28+Premissas!$B$54*Unitário!$B$22)</f>
        <v>-0</v>
      </c>
      <c r="P78" s="12" t="n">
        <f aca="false">-Premissas!$B$37*(IF($A78-(Premissas!$B$49+Premissas!$B$50)&gt;=1,INDEX($G$5:$G$94,$A78-(Premissas!$B$49+Premissas!$B$50)),0)*Unitário!$B$21*Premissas!$B$46+IF($A78-(Premissas!$B$51)&gt;=1,INDEX($H$5:$H$94,$A78-(Premissas!$B$51)),0)*(1-Premissas!$B$24)*Premissas!$B$47)</f>
        <v>-0</v>
      </c>
      <c r="Q78" s="12" t="n">
        <f aca="false">IF(DAY(B78)=1,-(Premissas!$B$38+Premissas!$B$59*Premissas!$B$60),0)</f>
        <v>0</v>
      </c>
      <c r="R78" s="12" t="n">
        <f aca="false">E78+F78+SUM(I78:Q78)</f>
        <v>0</v>
      </c>
      <c r="S78" s="12" t="n">
        <f aca="false">S77+R78</f>
        <v>1225.5702628</v>
      </c>
      <c r="T78" s="15" t="n">
        <f aca="false">IF(AND($A78&gt;$B$100,S78&gt;=0),1,0)</f>
        <v>1</v>
      </c>
      <c r="U78" s="12" t="n">
        <f aca="false">S78-SUM($E$5:E78)-(1+Premissas!$B$14)*SUM($C$5:C78)</f>
        <v>1225.5702628</v>
      </c>
      <c r="V78" s="12" t="n">
        <f aca="false">C78/Premissas!$B$15*Premissas!$B$17+(G78+H78)*Premissas!$B$18</f>
        <v>0</v>
      </c>
      <c r="W78" s="15" t="n">
        <f aca="false">IF(V78&gt;0,DATE(YEAR(B78),MONTH(B78)+1,1)-Premissas!$B$11+1,0)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46381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IF(C79&gt;0,IF(DAY(B79)&lt;=Premissas!$B$12,DATE(YEAR(B79),MONTH(B79),Premissas!$B$13),DATE(YEAR(B79),MONTH(B79)+1,Premissas!$B$13))-Premissas!$B$11+1,0)</f>
        <v>0</v>
      </c>
      <c r="E79" s="12" t="n">
        <f aca="false">-SUMIF($D$5:$D$94,A79,$C$5:$C$94)*(1+Premissas!$B$14)</f>
        <v>-0</v>
      </c>
      <c r="F79" s="12" t="n">
        <f aca="false">-SUMIF($W$5:$W$94,A79,$V$5:$V$94)</f>
        <v>-0</v>
      </c>
      <c r="G79" s="29" t="n">
        <f aca="false">C79/Premissas!$B$15*Premissas!$B$16*Premissas!$B$20</f>
        <v>0</v>
      </c>
      <c r="H79" s="29" t="n">
        <f aca="false">C79/Premissas!$B$15*Premissas!$B$16*Premissas!$B$21</f>
        <v>0</v>
      </c>
      <c r="I79" s="12" t="n">
        <f aca="false">-G79*(Premissas!$B$54*Unitário!$B$22+Premissas!$B$55*Unitário!$B$23)</f>
        <v>-0</v>
      </c>
      <c r="J79" s="12" t="n">
        <f aca="false">IF($A79-(Premissas!$B$49)&gt;=1,INDEX($G$5:$G$94,$A79-(Premissas!$B$49)),0)*Premissas!$B$23*((Premissas!$B$54*Unitário!$B$22+Premissas!$B$55*Unitário!$B$23)-Premissas!$B$35)</f>
        <v>0</v>
      </c>
      <c r="K79" s="12" t="n">
        <f aca="false">IF($A79-(Premissas!$B$49+Premissas!$B$52)&gt;=1,INDEX($G$5:$G$94,$A79-(Premissas!$B$49+Premissas!$B$52)),0)*Premissas!$B$24*((Premissas!$B$54*Unitário!$B$22+Premissas!$B$55*Unitário!$B$23)-Premissas!$B$36)</f>
        <v>0</v>
      </c>
      <c r="L79" s="12" t="n">
        <f aca="false">IF($A79-(Premissas!$B$49+Premissas!$B$50)&gt;=1,INDEX($G$5:$G$94,$A79-(Premissas!$B$49+Premissas!$B$50)),0)*Unitário!$B$21*(Premissas!$B$46-(1-Premissas!$B$55)*Unitário!$B$23-(1-Premissas!$B$54)*Unitário!$B$22)</f>
        <v>0</v>
      </c>
      <c r="M79" s="12" t="n">
        <f aca="false">IF($A79-(Premissas!$B$51)&gt;=1,INDEX($H$5:$H$94,$A79-(Premissas!$B$51)),0)*(Premissas!$B$47-Unitário!$B$25)</f>
        <v>0</v>
      </c>
      <c r="N79" s="12" t="n">
        <f aca="false">-H79*(Premissas!$B$54*Unitário!$B$22+Premissas!$B$28)</f>
        <v>-0</v>
      </c>
      <c r="O79" s="12" t="n">
        <f aca="false">IF($A79-(Premissas!$B$49+Premissas!$B$52)&gt;=1,INDEX($H$5:$H$94,$A79-(Premissas!$B$49+Premissas!$B$52)),0)*Premissas!$B$24*(-Premissas!$B$47-Premissas!$B$36+Premissas!$B$28+Premissas!$B$54*Unitário!$B$22)</f>
        <v>-0</v>
      </c>
      <c r="P79" s="12" t="n">
        <f aca="false">-Premissas!$B$37*(IF($A79-(Premissas!$B$49+Premissas!$B$50)&gt;=1,INDEX($G$5:$G$94,$A79-(Premissas!$B$49+Premissas!$B$50)),0)*Unitário!$B$21*Premissas!$B$46+IF($A79-(Premissas!$B$51)&gt;=1,INDEX($H$5:$H$94,$A79-(Premissas!$B$51)),0)*(1-Premissas!$B$24)*Premissas!$B$47)</f>
        <v>-0</v>
      </c>
      <c r="Q79" s="12" t="n">
        <f aca="false">IF(DAY(B79)=1,-(Premissas!$B$38+Premissas!$B$59*Premissas!$B$60),0)</f>
        <v>0</v>
      </c>
      <c r="R79" s="12" t="n">
        <f aca="false">E79+F79+SUM(I79:Q79)</f>
        <v>0</v>
      </c>
      <c r="S79" s="12" t="n">
        <f aca="false">S78+R79</f>
        <v>1225.5702628</v>
      </c>
      <c r="T79" s="15" t="n">
        <f aca="false">IF(AND($A79&gt;$B$100,S79&gt;=0),1,0)</f>
        <v>1</v>
      </c>
      <c r="U79" s="12" t="n">
        <f aca="false">S79-SUM($E$5:E79)-(1+Premissas!$B$14)*SUM($C$5:C79)</f>
        <v>1225.5702628</v>
      </c>
      <c r="V79" s="12" t="n">
        <f aca="false">C79/Premissas!$B$15*Premissas!$B$17+(G79+H79)*Premissas!$B$18</f>
        <v>0</v>
      </c>
      <c r="W79" s="15" t="n">
        <f aca="false">IF(V79&gt;0,DATE(YEAR(B79),MONTH(B79)+1,1)-Premissas!$B$11+1,0)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46382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IF(C80&gt;0,IF(DAY(B80)&lt;=Premissas!$B$12,DATE(YEAR(B80),MONTH(B80),Premissas!$B$13),DATE(YEAR(B80),MONTH(B80)+1,Premissas!$B$13))-Premissas!$B$11+1,0)</f>
        <v>0</v>
      </c>
      <c r="E80" s="12" t="n">
        <f aca="false">-SUMIF($D$5:$D$94,A80,$C$5:$C$94)*(1+Premissas!$B$14)</f>
        <v>-0</v>
      </c>
      <c r="F80" s="12" t="n">
        <f aca="false">-SUMIF($W$5:$W$94,A80,$V$5:$V$94)</f>
        <v>-0</v>
      </c>
      <c r="G80" s="29" t="n">
        <f aca="false">C80/Premissas!$B$15*Premissas!$B$16*Premissas!$B$20</f>
        <v>0</v>
      </c>
      <c r="H80" s="29" t="n">
        <f aca="false">C80/Premissas!$B$15*Premissas!$B$16*Premissas!$B$21</f>
        <v>0</v>
      </c>
      <c r="I80" s="12" t="n">
        <f aca="false">-G80*(Premissas!$B$54*Unitário!$B$22+Premissas!$B$55*Unitário!$B$23)</f>
        <v>-0</v>
      </c>
      <c r="J80" s="12" t="n">
        <f aca="false">IF($A80-(Premissas!$B$49)&gt;=1,INDEX($G$5:$G$94,$A80-(Premissas!$B$49)),0)*Premissas!$B$23*((Premissas!$B$54*Unitário!$B$22+Premissas!$B$55*Unitário!$B$23)-Premissas!$B$35)</f>
        <v>0</v>
      </c>
      <c r="K80" s="12" t="n">
        <f aca="false">IF($A80-(Premissas!$B$49+Premissas!$B$52)&gt;=1,INDEX($G$5:$G$94,$A80-(Premissas!$B$49+Premissas!$B$52)),0)*Premissas!$B$24*((Premissas!$B$54*Unitário!$B$22+Premissas!$B$55*Unitário!$B$23)-Premissas!$B$36)</f>
        <v>0</v>
      </c>
      <c r="L80" s="12" t="n">
        <f aca="false">IF($A80-(Premissas!$B$49+Premissas!$B$50)&gt;=1,INDEX($G$5:$G$94,$A80-(Premissas!$B$49+Premissas!$B$50)),0)*Unitário!$B$21*(Premissas!$B$46-(1-Premissas!$B$55)*Unitário!$B$23-(1-Premissas!$B$54)*Unitário!$B$22)</f>
        <v>0</v>
      </c>
      <c r="M80" s="12" t="n">
        <f aca="false">IF($A80-(Premissas!$B$51)&gt;=1,INDEX($H$5:$H$94,$A80-(Premissas!$B$51)),0)*(Premissas!$B$47-Unitário!$B$25)</f>
        <v>0</v>
      </c>
      <c r="N80" s="12" t="n">
        <f aca="false">-H80*(Premissas!$B$54*Unitário!$B$22+Premissas!$B$28)</f>
        <v>-0</v>
      </c>
      <c r="O80" s="12" t="n">
        <f aca="false">IF($A80-(Premissas!$B$49+Premissas!$B$52)&gt;=1,INDEX($H$5:$H$94,$A80-(Premissas!$B$49+Premissas!$B$52)),0)*Premissas!$B$24*(-Premissas!$B$47-Premissas!$B$36+Premissas!$B$28+Premissas!$B$54*Unitário!$B$22)</f>
        <v>-0</v>
      </c>
      <c r="P80" s="12" t="n">
        <f aca="false">-Premissas!$B$37*(IF($A80-(Premissas!$B$49+Premissas!$B$50)&gt;=1,INDEX($G$5:$G$94,$A80-(Premissas!$B$49+Premissas!$B$50)),0)*Unitário!$B$21*Premissas!$B$46+IF($A80-(Premissas!$B$51)&gt;=1,INDEX($H$5:$H$94,$A80-(Premissas!$B$51)),0)*(1-Premissas!$B$24)*Premissas!$B$47)</f>
        <v>-0</v>
      </c>
      <c r="Q80" s="12" t="n">
        <f aca="false">IF(DAY(B80)=1,-(Premissas!$B$38+Premissas!$B$59*Premissas!$B$60),0)</f>
        <v>0</v>
      </c>
      <c r="R80" s="12" t="n">
        <f aca="false">E80+F80+SUM(I80:Q80)</f>
        <v>0</v>
      </c>
      <c r="S80" s="12" t="n">
        <f aca="false">S79+R80</f>
        <v>1225.5702628</v>
      </c>
      <c r="T80" s="15" t="n">
        <f aca="false">IF(AND($A80&gt;$B$100,S80&gt;=0),1,0)</f>
        <v>1</v>
      </c>
      <c r="U80" s="12" t="n">
        <f aca="false">S80-SUM($E$5:E80)-(1+Premissas!$B$14)*SUM($C$5:C80)</f>
        <v>1225.5702628</v>
      </c>
      <c r="V80" s="12" t="n">
        <f aca="false">C80/Premissas!$B$15*Premissas!$B$17+(G80+H80)*Premissas!$B$18</f>
        <v>0</v>
      </c>
      <c r="W80" s="15" t="n">
        <f aca="false">IF(V80&gt;0,DATE(YEAR(B80),MONTH(B80)+1,1)-Premissas!$B$11+1,0)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46383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IF(C81&gt;0,IF(DAY(B81)&lt;=Premissas!$B$12,DATE(YEAR(B81),MONTH(B81),Premissas!$B$13),DATE(YEAR(B81),MONTH(B81)+1,Premissas!$B$13))-Premissas!$B$11+1,0)</f>
        <v>0</v>
      </c>
      <c r="E81" s="12" t="n">
        <f aca="false">-SUMIF($D$5:$D$94,A81,$C$5:$C$94)*(1+Premissas!$B$14)</f>
        <v>-0</v>
      </c>
      <c r="F81" s="12" t="n">
        <f aca="false">-SUMIF($W$5:$W$94,A81,$V$5:$V$94)</f>
        <v>-0</v>
      </c>
      <c r="G81" s="29" t="n">
        <f aca="false">C81/Premissas!$B$15*Premissas!$B$16*Premissas!$B$20</f>
        <v>0</v>
      </c>
      <c r="H81" s="29" t="n">
        <f aca="false">C81/Premissas!$B$15*Premissas!$B$16*Premissas!$B$21</f>
        <v>0</v>
      </c>
      <c r="I81" s="12" t="n">
        <f aca="false">-G81*(Premissas!$B$54*Unitário!$B$22+Premissas!$B$55*Unitário!$B$23)</f>
        <v>-0</v>
      </c>
      <c r="J81" s="12" t="n">
        <f aca="false">IF($A81-(Premissas!$B$49)&gt;=1,INDEX($G$5:$G$94,$A81-(Premissas!$B$49)),0)*Premissas!$B$23*((Premissas!$B$54*Unitário!$B$22+Premissas!$B$55*Unitário!$B$23)-Premissas!$B$35)</f>
        <v>0</v>
      </c>
      <c r="K81" s="12" t="n">
        <f aca="false">IF($A81-(Premissas!$B$49+Premissas!$B$52)&gt;=1,INDEX($G$5:$G$94,$A81-(Premissas!$B$49+Premissas!$B$52)),0)*Premissas!$B$24*((Premissas!$B$54*Unitário!$B$22+Premissas!$B$55*Unitário!$B$23)-Premissas!$B$36)</f>
        <v>0</v>
      </c>
      <c r="L81" s="12" t="n">
        <f aca="false">IF($A81-(Premissas!$B$49+Premissas!$B$50)&gt;=1,INDEX($G$5:$G$94,$A81-(Premissas!$B$49+Premissas!$B$50)),0)*Unitário!$B$21*(Premissas!$B$46-(1-Premissas!$B$55)*Unitário!$B$23-(1-Premissas!$B$54)*Unitário!$B$22)</f>
        <v>0</v>
      </c>
      <c r="M81" s="12" t="n">
        <f aca="false">IF($A81-(Premissas!$B$51)&gt;=1,INDEX($H$5:$H$94,$A81-(Premissas!$B$51)),0)*(Premissas!$B$47-Unitário!$B$25)</f>
        <v>0</v>
      </c>
      <c r="N81" s="12" t="n">
        <f aca="false">-H81*(Premissas!$B$54*Unitário!$B$22+Premissas!$B$28)</f>
        <v>-0</v>
      </c>
      <c r="O81" s="12" t="n">
        <f aca="false">IF($A81-(Premissas!$B$49+Premissas!$B$52)&gt;=1,INDEX($H$5:$H$94,$A81-(Premissas!$B$49+Premissas!$B$52)),0)*Premissas!$B$24*(-Premissas!$B$47-Premissas!$B$36+Premissas!$B$28+Premissas!$B$54*Unitário!$B$22)</f>
        <v>-0</v>
      </c>
      <c r="P81" s="12" t="n">
        <f aca="false">-Premissas!$B$37*(IF($A81-(Premissas!$B$49+Premissas!$B$50)&gt;=1,INDEX($G$5:$G$94,$A81-(Premissas!$B$49+Premissas!$B$50)),0)*Unitário!$B$21*Premissas!$B$46+IF($A81-(Premissas!$B$51)&gt;=1,INDEX($H$5:$H$94,$A81-(Premissas!$B$51)),0)*(1-Premissas!$B$24)*Premissas!$B$47)</f>
        <v>-0</v>
      </c>
      <c r="Q81" s="12" t="n">
        <f aca="false">IF(DAY(B81)=1,-(Premissas!$B$38+Premissas!$B$59*Premissas!$B$60),0)</f>
        <v>0</v>
      </c>
      <c r="R81" s="12" t="n">
        <f aca="false">E81+F81+SUM(I81:Q81)</f>
        <v>0</v>
      </c>
      <c r="S81" s="12" t="n">
        <f aca="false">S80+R81</f>
        <v>1225.5702628</v>
      </c>
      <c r="T81" s="15" t="n">
        <f aca="false">IF(AND($A81&gt;$B$100,S81&gt;=0),1,0)</f>
        <v>1</v>
      </c>
      <c r="U81" s="12" t="n">
        <f aca="false">S81-SUM($E$5:E81)-(1+Premissas!$B$14)*SUM($C$5:C81)</f>
        <v>1225.5702628</v>
      </c>
      <c r="V81" s="12" t="n">
        <f aca="false">C81/Premissas!$B$15*Premissas!$B$17+(G81+H81)*Premissas!$B$18</f>
        <v>0</v>
      </c>
      <c r="W81" s="15" t="n">
        <f aca="false">IF(V81&gt;0,DATE(YEAR(B81),MONTH(B81)+1,1)-Premissas!$B$11+1,0)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46384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IF(C82&gt;0,IF(DAY(B82)&lt;=Premissas!$B$12,DATE(YEAR(B82),MONTH(B82),Premissas!$B$13),DATE(YEAR(B82),MONTH(B82)+1,Premissas!$B$13))-Premissas!$B$11+1,0)</f>
        <v>0</v>
      </c>
      <c r="E82" s="12" t="n">
        <f aca="false">-SUMIF($D$5:$D$94,A82,$C$5:$C$94)*(1+Premissas!$B$14)</f>
        <v>-0</v>
      </c>
      <c r="F82" s="12" t="n">
        <f aca="false">-SUMIF($W$5:$W$94,A82,$V$5:$V$94)</f>
        <v>-0</v>
      </c>
      <c r="G82" s="29" t="n">
        <f aca="false">C82/Premissas!$B$15*Premissas!$B$16*Premissas!$B$20</f>
        <v>0</v>
      </c>
      <c r="H82" s="29" t="n">
        <f aca="false">C82/Premissas!$B$15*Premissas!$B$16*Premissas!$B$21</f>
        <v>0</v>
      </c>
      <c r="I82" s="12" t="n">
        <f aca="false">-G82*(Premissas!$B$54*Unitário!$B$22+Premissas!$B$55*Unitário!$B$23)</f>
        <v>-0</v>
      </c>
      <c r="J82" s="12" t="n">
        <f aca="false">IF($A82-(Premissas!$B$49)&gt;=1,INDEX($G$5:$G$94,$A82-(Premissas!$B$49)),0)*Premissas!$B$23*((Premissas!$B$54*Unitário!$B$22+Premissas!$B$55*Unitário!$B$23)-Premissas!$B$35)</f>
        <v>0</v>
      </c>
      <c r="K82" s="12" t="n">
        <f aca="false">IF($A82-(Premissas!$B$49+Premissas!$B$52)&gt;=1,INDEX($G$5:$G$94,$A82-(Premissas!$B$49+Premissas!$B$52)),0)*Premissas!$B$24*((Premissas!$B$54*Unitário!$B$22+Premissas!$B$55*Unitário!$B$23)-Premissas!$B$36)</f>
        <v>0</v>
      </c>
      <c r="L82" s="12" t="n">
        <f aca="false">IF($A82-(Premissas!$B$49+Premissas!$B$50)&gt;=1,INDEX($G$5:$G$94,$A82-(Premissas!$B$49+Premissas!$B$50)),0)*Unitário!$B$21*(Premissas!$B$46-(1-Premissas!$B$55)*Unitário!$B$23-(1-Premissas!$B$54)*Unitário!$B$22)</f>
        <v>0</v>
      </c>
      <c r="M82" s="12" t="n">
        <f aca="false">IF($A82-(Premissas!$B$51)&gt;=1,INDEX($H$5:$H$94,$A82-(Premissas!$B$51)),0)*(Premissas!$B$47-Unitário!$B$25)</f>
        <v>0</v>
      </c>
      <c r="N82" s="12" t="n">
        <f aca="false">-H82*(Premissas!$B$54*Unitário!$B$22+Premissas!$B$28)</f>
        <v>-0</v>
      </c>
      <c r="O82" s="12" t="n">
        <f aca="false">IF($A82-(Premissas!$B$49+Premissas!$B$52)&gt;=1,INDEX($H$5:$H$94,$A82-(Premissas!$B$49+Premissas!$B$52)),0)*Premissas!$B$24*(-Premissas!$B$47-Premissas!$B$36+Premissas!$B$28+Premissas!$B$54*Unitário!$B$22)</f>
        <v>-0</v>
      </c>
      <c r="P82" s="12" t="n">
        <f aca="false">-Premissas!$B$37*(IF($A82-(Premissas!$B$49+Premissas!$B$50)&gt;=1,INDEX($G$5:$G$94,$A82-(Premissas!$B$49+Premissas!$B$50)),0)*Unitário!$B$21*Premissas!$B$46+IF($A82-(Premissas!$B$51)&gt;=1,INDEX($H$5:$H$94,$A82-(Premissas!$B$51)),0)*(1-Premissas!$B$24)*Premissas!$B$47)</f>
        <v>-0</v>
      </c>
      <c r="Q82" s="12" t="n">
        <f aca="false">IF(DAY(B82)=1,-(Premissas!$B$38+Premissas!$B$59*Premissas!$B$60),0)</f>
        <v>0</v>
      </c>
      <c r="R82" s="12" t="n">
        <f aca="false">E82+F82+SUM(I82:Q82)</f>
        <v>0</v>
      </c>
      <c r="S82" s="12" t="n">
        <f aca="false">S81+R82</f>
        <v>1225.5702628</v>
      </c>
      <c r="T82" s="15" t="n">
        <f aca="false">IF(AND($A82&gt;$B$100,S82&gt;=0),1,0)</f>
        <v>1</v>
      </c>
      <c r="U82" s="12" t="n">
        <f aca="false">S82-SUM($E$5:E82)-(1+Premissas!$B$14)*SUM($C$5:C82)</f>
        <v>1225.5702628</v>
      </c>
      <c r="V82" s="12" t="n">
        <f aca="false">C82/Premissas!$B$15*Premissas!$B$17+(G82+H82)*Premissas!$B$18</f>
        <v>0</v>
      </c>
      <c r="W82" s="15" t="n">
        <f aca="false">IF(V82&gt;0,DATE(YEAR(B82),MONTH(B82)+1,1)-Premissas!$B$11+1,0)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46385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IF(C83&gt;0,IF(DAY(B83)&lt;=Premissas!$B$12,DATE(YEAR(B83),MONTH(B83),Premissas!$B$13),DATE(YEAR(B83),MONTH(B83)+1,Premissas!$B$13))-Premissas!$B$11+1,0)</f>
        <v>0</v>
      </c>
      <c r="E83" s="12" t="n">
        <f aca="false">-SUMIF($D$5:$D$94,A83,$C$5:$C$94)*(1+Premissas!$B$14)</f>
        <v>-0</v>
      </c>
      <c r="F83" s="12" t="n">
        <f aca="false">-SUMIF($W$5:$W$94,A83,$V$5:$V$94)</f>
        <v>-0</v>
      </c>
      <c r="G83" s="29" t="n">
        <f aca="false">C83/Premissas!$B$15*Premissas!$B$16*Premissas!$B$20</f>
        <v>0</v>
      </c>
      <c r="H83" s="29" t="n">
        <f aca="false">C83/Premissas!$B$15*Premissas!$B$16*Premissas!$B$21</f>
        <v>0</v>
      </c>
      <c r="I83" s="12" t="n">
        <f aca="false">-G83*(Premissas!$B$54*Unitário!$B$22+Premissas!$B$55*Unitário!$B$23)</f>
        <v>-0</v>
      </c>
      <c r="J83" s="12" t="n">
        <f aca="false">IF($A83-(Premissas!$B$49)&gt;=1,INDEX($G$5:$G$94,$A83-(Premissas!$B$49)),0)*Premissas!$B$23*((Premissas!$B$54*Unitário!$B$22+Premissas!$B$55*Unitário!$B$23)-Premissas!$B$35)</f>
        <v>0</v>
      </c>
      <c r="K83" s="12" t="n">
        <f aca="false">IF($A83-(Premissas!$B$49+Premissas!$B$52)&gt;=1,INDEX($G$5:$G$94,$A83-(Premissas!$B$49+Premissas!$B$52)),0)*Premissas!$B$24*((Premissas!$B$54*Unitário!$B$22+Premissas!$B$55*Unitário!$B$23)-Premissas!$B$36)</f>
        <v>0</v>
      </c>
      <c r="L83" s="12" t="n">
        <f aca="false">IF($A83-(Premissas!$B$49+Premissas!$B$50)&gt;=1,INDEX($G$5:$G$94,$A83-(Premissas!$B$49+Premissas!$B$50)),0)*Unitário!$B$21*(Premissas!$B$46-(1-Premissas!$B$55)*Unitário!$B$23-(1-Premissas!$B$54)*Unitário!$B$22)</f>
        <v>0</v>
      </c>
      <c r="M83" s="12" t="n">
        <f aca="false">IF($A83-(Premissas!$B$51)&gt;=1,INDEX($H$5:$H$94,$A83-(Premissas!$B$51)),0)*(Premissas!$B$47-Unitário!$B$25)</f>
        <v>0</v>
      </c>
      <c r="N83" s="12" t="n">
        <f aca="false">-H83*(Premissas!$B$54*Unitário!$B$22+Premissas!$B$28)</f>
        <v>-0</v>
      </c>
      <c r="O83" s="12" t="n">
        <f aca="false">IF($A83-(Premissas!$B$49+Premissas!$B$52)&gt;=1,INDEX($H$5:$H$94,$A83-(Premissas!$B$49+Premissas!$B$52)),0)*Premissas!$B$24*(-Premissas!$B$47-Premissas!$B$36+Premissas!$B$28+Premissas!$B$54*Unitário!$B$22)</f>
        <v>-0</v>
      </c>
      <c r="P83" s="12" t="n">
        <f aca="false">-Premissas!$B$37*(IF($A83-(Premissas!$B$49+Premissas!$B$50)&gt;=1,INDEX($G$5:$G$94,$A83-(Premissas!$B$49+Premissas!$B$50)),0)*Unitário!$B$21*Premissas!$B$46+IF($A83-(Premissas!$B$51)&gt;=1,INDEX($H$5:$H$94,$A83-(Premissas!$B$51)),0)*(1-Premissas!$B$24)*Premissas!$B$47)</f>
        <v>-0</v>
      </c>
      <c r="Q83" s="12" t="n">
        <f aca="false">IF(DAY(B83)=1,-(Premissas!$B$38+Premissas!$B$59*Premissas!$B$60),0)</f>
        <v>0</v>
      </c>
      <c r="R83" s="12" t="n">
        <f aca="false">E83+F83+SUM(I83:Q83)</f>
        <v>0</v>
      </c>
      <c r="S83" s="12" t="n">
        <f aca="false">S82+R83</f>
        <v>1225.5702628</v>
      </c>
      <c r="T83" s="15" t="n">
        <f aca="false">IF(AND($A83&gt;$B$100,S83&gt;=0),1,0)</f>
        <v>1</v>
      </c>
      <c r="U83" s="12" t="n">
        <f aca="false">S83-SUM($E$5:E83)-(1+Premissas!$B$14)*SUM($C$5:C83)</f>
        <v>1225.5702628</v>
      </c>
      <c r="V83" s="12" t="n">
        <f aca="false">C83/Premissas!$B$15*Premissas!$B$17+(G83+H83)*Premissas!$B$18</f>
        <v>0</v>
      </c>
      <c r="W83" s="15" t="n">
        <f aca="false">IF(V83&gt;0,DATE(YEAR(B83),MONTH(B83)+1,1)-Premissas!$B$11+1,0)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46386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IF(C84&gt;0,IF(DAY(B84)&lt;=Premissas!$B$12,DATE(YEAR(B84),MONTH(B84),Premissas!$B$13),DATE(YEAR(B84),MONTH(B84)+1,Premissas!$B$13))-Premissas!$B$11+1,0)</f>
        <v>0</v>
      </c>
      <c r="E84" s="12" t="n">
        <f aca="false">-SUMIF($D$5:$D$94,A84,$C$5:$C$94)*(1+Premissas!$B$14)</f>
        <v>-0</v>
      </c>
      <c r="F84" s="12" t="n">
        <f aca="false">-SUMIF($W$5:$W$94,A84,$V$5:$V$94)</f>
        <v>-0</v>
      </c>
      <c r="G84" s="29" t="n">
        <f aca="false">C84/Premissas!$B$15*Premissas!$B$16*Premissas!$B$20</f>
        <v>0</v>
      </c>
      <c r="H84" s="29" t="n">
        <f aca="false">C84/Premissas!$B$15*Premissas!$B$16*Premissas!$B$21</f>
        <v>0</v>
      </c>
      <c r="I84" s="12" t="n">
        <f aca="false">-G84*(Premissas!$B$54*Unitário!$B$22+Premissas!$B$55*Unitário!$B$23)</f>
        <v>-0</v>
      </c>
      <c r="J84" s="12" t="n">
        <f aca="false">IF($A84-(Premissas!$B$49)&gt;=1,INDEX($G$5:$G$94,$A84-(Premissas!$B$49)),0)*Premissas!$B$23*((Premissas!$B$54*Unitário!$B$22+Premissas!$B$55*Unitário!$B$23)-Premissas!$B$35)</f>
        <v>0</v>
      </c>
      <c r="K84" s="12" t="n">
        <f aca="false">IF($A84-(Premissas!$B$49+Premissas!$B$52)&gt;=1,INDEX($G$5:$G$94,$A84-(Premissas!$B$49+Premissas!$B$52)),0)*Premissas!$B$24*((Premissas!$B$54*Unitário!$B$22+Premissas!$B$55*Unitário!$B$23)-Premissas!$B$36)</f>
        <v>0</v>
      </c>
      <c r="L84" s="12" t="n">
        <f aca="false">IF($A84-(Premissas!$B$49+Premissas!$B$50)&gt;=1,INDEX($G$5:$G$94,$A84-(Premissas!$B$49+Premissas!$B$50)),0)*Unitário!$B$21*(Premissas!$B$46-(1-Premissas!$B$55)*Unitário!$B$23-(1-Premissas!$B$54)*Unitário!$B$22)</f>
        <v>0</v>
      </c>
      <c r="M84" s="12" t="n">
        <f aca="false">IF($A84-(Premissas!$B$51)&gt;=1,INDEX($H$5:$H$94,$A84-(Premissas!$B$51)),0)*(Premissas!$B$47-Unitário!$B$25)</f>
        <v>0</v>
      </c>
      <c r="N84" s="12" t="n">
        <f aca="false">-H84*(Premissas!$B$54*Unitário!$B$22+Premissas!$B$28)</f>
        <v>-0</v>
      </c>
      <c r="O84" s="12" t="n">
        <f aca="false">IF($A84-(Premissas!$B$49+Premissas!$B$52)&gt;=1,INDEX($H$5:$H$94,$A84-(Premissas!$B$49+Premissas!$B$52)),0)*Premissas!$B$24*(-Premissas!$B$47-Premissas!$B$36+Premissas!$B$28+Premissas!$B$54*Unitário!$B$22)</f>
        <v>-0</v>
      </c>
      <c r="P84" s="12" t="n">
        <f aca="false">-Premissas!$B$37*(IF($A84-(Premissas!$B$49+Premissas!$B$50)&gt;=1,INDEX($G$5:$G$94,$A84-(Premissas!$B$49+Premissas!$B$50)),0)*Unitário!$B$21*Premissas!$B$46+IF($A84-(Premissas!$B$51)&gt;=1,INDEX($H$5:$H$94,$A84-(Premissas!$B$51)),0)*(1-Premissas!$B$24)*Premissas!$B$47)</f>
        <v>-0</v>
      </c>
      <c r="Q84" s="12" t="n">
        <f aca="false">IF(DAY(B84)=1,-(Premissas!$B$38+Premissas!$B$59*Premissas!$B$60),0)</f>
        <v>0</v>
      </c>
      <c r="R84" s="12" t="n">
        <f aca="false">E84+F84+SUM(I84:Q84)</f>
        <v>0</v>
      </c>
      <c r="S84" s="12" t="n">
        <f aca="false">S83+R84</f>
        <v>1225.5702628</v>
      </c>
      <c r="T84" s="15" t="n">
        <f aca="false">IF(AND($A84&gt;$B$100,S84&gt;=0),1,0)</f>
        <v>1</v>
      </c>
      <c r="U84" s="12" t="n">
        <f aca="false">S84-SUM($E$5:E84)-(1+Premissas!$B$14)*SUM($C$5:C84)</f>
        <v>1225.5702628</v>
      </c>
      <c r="V84" s="12" t="n">
        <f aca="false">C84/Premissas!$B$15*Premissas!$B$17+(G84+H84)*Premissas!$B$18</f>
        <v>0</v>
      </c>
      <c r="W84" s="15" t="n">
        <f aca="false">IF(V84&gt;0,DATE(YEAR(B84),MONTH(B84)+1,1)-Premissas!$B$11+1,0)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46387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IF(C85&gt;0,IF(DAY(B85)&lt;=Premissas!$B$12,DATE(YEAR(B85),MONTH(B85),Premissas!$B$13),DATE(YEAR(B85),MONTH(B85)+1,Premissas!$B$13))-Premissas!$B$11+1,0)</f>
        <v>0</v>
      </c>
      <c r="E85" s="12" t="n">
        <f aca="false">-SUMIF($D$5:$D$94,A85,$C$5:$C$94)*(1+Premissas!$B$14)</f>
        <v>-0</v>
      </c>
      <c r="F85" s="12" t="n">
        <f aca="false">-SUMIF($W$5:$W$94,A85,$V$5:$V$94)</f>
        <v>-0</v>
      </c>
      <c r="G85" s="29" t="n">
        <f aca="false">C85/Premissas!$B$15*Premissas!$B$16*Premissas!$B$20</f>
        <v>0</v>
      </c>
      <c r="H85" s="29" t="n">
        <f aca="false">C85/Premissas!$B$15*Premissas!$B$16*Premissas!$B$21</f>
        <v>0</v>
      </c>
      <c r="I85" s="12" t="n">
        <f aca="false">-G85*(Premissas!$B$54*Unitário!$B$22+Premissas!$B$55*Unitário!$B$23)</f>
        <v>-0</v>
      </c>
      <c r="J85" s="12" t="n">
        <f aca="false">IF($A85-(Premissas!$B$49)&gt;=1,INDEX($G$5:$G$94,$A85-(Premissas!$B$49)),0)*Premissas!$B$23*((Premissas!$B$54*Unitário!$B$22+Premissas!$B$55*Unitário!$B$23)-Premissas!$B$35)</f>
        <v>0</v>
      </c>
      <c r="K85" s="12" t="n">
        <f aca="false">IF($A85-(Premissas!$B$49+Premissas!$B$52)&gt;=1,INDEX($G$5:$G$94,$A85-(Premissas!$B$49+Premissas!$B$52)),0)*Premissas!$B$24*((Premissas!$B$54*Unitário!$B$22+Premissas!$B$55*Unitário!$B$23)-Premissas!$B$36)</f>
        <v>0</v>
      </c>
      <c r="L85" s="12" t="n">
        <f aca="false">IF($A85-(Premissas!$B$49+Premissas!$B$50)&gt;=1,INDEX($G$5:$G$94,$A85-(Premissas!$B$49+Premissas!$B$50)),0)*Unitário!$B$21*(Premissas!$B$46-(1-Premissas!$B$55)*Unitário!$B$23-(1-Premissas!$B$54)*Unitário!$B$22)</f>
        <v>0</v>
      </c>
      <c r="M85" s="12" t="n">
        <f aca="false">IF($A85-(Premissas!$B$51)&gt;=1,INDEX($H$5:$H$94,$A85-(Premissas!$B$51)),0)*(Premissas!$B$47-Unitário!$B$25)</f>
        <v>0</v>
      </c>
      <c r="N85" s="12" t="n">
        <f aca="false">-H85*(Premissas!$B$54*Unitário!$B$22+Premissas!$B$28)</f>
        <v>-0</v>
      </c>
      <c r="O85" s="12" t="n">
        <f aca="false">IF($A85-(Premissas!$B$49+Premissas!$B$52)&gt;=1,INDEX($H$5:$H$94,$A85-(Premissas!$B$49+Premissas!$B$52)),0)*Premissas!$B$24*(-Premissas!$B$47-Premissas!$B$36+Premissas!$B$28+Premissas!$B$54*Unitário!$B$22)</f>
        <v>-0</v>
      </c>
      <c r="P85" s="12" t="n">
        <f aca="false">-Premissas!$B$37*(IF($A85-(Premissas!$B$49+Premissas!$B$50)&gt;=1,INDEX($G$5:$G$94,$A85-(Premissas!$B$49+Premissas!$B$50)),0)*Unitário!$B$21*Premissas!$B$46+IF($A85-(Premissas!$B$51)&gt;=1,INDEX($H$5:$H$94,$A85-(Premissas!$B$51)),0)*(1-Premissas!$B$24)*Premissas!$B$47)</f>
        <v>-0</v>
      </c>
      <c r="Q85" s="12" t="n">
        <f aca="false">IF(DAY(B85)=1,-(Premissas!$B$38+Premissas!$B$59*Premissas!$B$60),0)</f>
        <v>0</v>
      </c>
      <c r="R85" s="12" t="n">
        <f aca="false">E85+F85+SUM(I85:Q85)</f>
        <v>0</v>
      </c>
      <c r="S85" s="12" t="n">
        <f aca="false">S84+R85</f>
        <v>1225.5702628</v>
      </c>
      <c r="T85" s="15" t="n">
        <f aca="false">IF(AND($A85&gt;$B$100,S85&gt;=0),1,0)</f>
        <v>1</v>
      </c>
      <c r="U85" s="12" t="n">
        <f aca="false">S85-SUM($E$5:E85)-(1+Premissas!$B$14)*SUM($C$5:C85)</f>
        <v>1225.5702628</v>
      </c>
      <c r="V85" s="12" t="n">
        <f aca="false">C85/Premissas!$B$15*Premissas!$B$17+(G85+H85)*Premissas!$B$18</f>
        <v>0</v>
      </c>
      <c r="W85" s="15" t="n">
        <f aca="false">IF(V85&gt;0,DATE(YEAR(B85),MONTH(B85)+1,1)-Premissas!$B$11+1,0)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46388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IF(C86&gt;0,IF(DAY(B86)&lt;=Premissas!$B$12,DATE(YEAR(B86),MONTH(B86),Premissas!$B$13),DATE(YEAR(B86),MONTH(B86)+1,Premissas!$B$13))-Premissas!$B$11+1,0)</f>
        <v>0</v>
      </c>
      <c r="E86" s="12" t="n">
        <f aca="false">-SUMIF($D$5:$D$94,A86,$C$5:$C$94)*(1+Premissas!$B$14)</f>
        <v>-0</v>
      </c>
      <c r="F86" s="12" t="n">
        <f aca="false">-SUMIF($W$5:$W$94,A86,$V$5:$V$94)</f>
        <v>-0</v>
      </c>
      <c r="G86" s="29" t="n">
        <f aca="false">C86/Premissas!$B$15*Premissas!$B$16*Premissas!$B$20</f>
        <v>0</v>
      </c>
      <c r="H86" s="29" t="n">
        <f aca="false">C86/Premissas!$B$15*Premissas!$B$16*Premissas!$B$21</f>
        <v>0</v>
      </c>
      <c r="I86" s="12" t="n">
        <f aca="false">-G86*(Premissas!$B$54*Unitário!$B$22+Premissas!$B$55*Unitário!$B$23)</f>
        <v>-0</v>
      </c>
      <c r="J86" s="12" t="n">
        <f aca="false">IF($A86-(Premissas!$B$49)&gt;=1,INDEX($G$5:$G$94,$A86-(Premissas!$B$49)),0)*Premissas!$B$23*((Premissas!$B$54*Unitário!$B$22+Premissas!$B$55*Unitário!$B$23)-Premissas!$B$35)</f>
        <v>0</v>
      </c>
      <c r="K86" s="12" t="n">
        <f aca="false">IF($A86-(Premissas!$B$49+Premissas!$B$52)&gt;=1,INDEX($G$5:$G$94,$A86-(Premissas!$B$49+Premissas!$B$52)),0)*Premissas!$B$24*((Premissas!$B$54*Unitário!$B$22+Premissas!$B$55*Unitário!$B$23)-Premissas!$B$36)</f>
        <v>0</v>
      </c>
      <c r="L86" s="12" t="n">
        <f aca="false">IF($A86-(Premissas!$B$49+Premissas!$B$50)&gt;=1,INDEX($G$5:$G$94,$A86-(Premissas!$B$49+Premissas!$B$50)),0)*Unitário!$B$21*(Premissas!$B$46-(1-Premissas!$B$55)*Unitário!$B$23-(1-Premissas!$B$54)*Unitário!$B$22)</f>
        <v>0</v>
      </c>
      <c r="M86" s="12" t="n">
        <f aca="false">IF($A86-(Premissas!$B$51)&gt;=1,INDEX($H$5:$H$94,$A86-(Premissas!$B$51)),0)*(Premissas!$B$47-Unitário!$B$25)</f>
        <v>0</v>
      </c>
      <c r="N86" s="12" t="n">
        <f aca="false">-H86*(Premissas!$B$54*Unitário!$B$22+Premissas!$B$28)</f>
        <v>-0</v>
      </c>
      <c r="O86" s="12" t="n">
        <f aca="false">IF($A86-(Premissas!$B$49+Premissas!$B$52)&gt;=1,INDEX($H$5:$H$94,$A86-(Premissas!$B$49+Premissas!$B$52)),0)*Premissas!$B$24*(-Premissas!$B$47-Premissas!$B$36+Premissas!$B$28+Premissas!$B$54*Unitário!$B$22)</f>
        <v>-0</v>
      </c>
      <c r="P86" s="12" t="n">
        <f aca="false">-Premissas!$B$37*(IF($A86-(Premissas!$B$49+Premissas!$B$50)&gt;=1,INDEX($G$5:$G$94,$A86-(Premissas!$B$49+Premissas!$B$50)),0)*Unitário!$B$21*Premissas!$B$46+IF($A86-(Premissas!$B$51)&gt;=1,INDEX($H$5:$H$94,$A86-(Premissas!$B$51)),0)*(1-Premissas!$B$24)*Premissas!$B$47)</f>
        <v>-0</v>
      </c>
      <c r="Q86" s="12" t="n">
        <f aca="false">IF(DAY(B86)=1,-(Premissas!$B$38+Premissas!$B$59*Premissas!$B$60),0)</f>
        <v>-57.49</v>
      </c>
      <c r="R86" s="12" t="n">
        <f aca="false">E86+F86+SUM(I86:Q86)</f>
        <v>-57.49</v>
      </c>
      <c r="S86" s="12" t="n">
        <f aca="false">S85+R86</f>
        <v>1168.0802628</v>
      </c>
      <c r="T86" s="15" t="n">
        <f aca="false">IF(AND($A86&gt;$B$100,S86&gt;=0),1,0)</f>
        <v>1</v>
      </c>
      <c r="U86" s="12" t="n">
        <f aca="false">S86-SUM($E$5:E86)-(1+Premissas!$B$14)*SUM($C$5:C86)</f>
        <v>1168.0802628</v>
      </c>
      <c r="V86" s="12" t="n">
        <f aca="false">C86/Premissas!$B$15*Premissas!$B$17+(G86+H86)*Premissas!$B$18</f>
        <v>0</v>
      </c>
      <c r="W86" s="15" t="n">
        <f aca="false">IF(V86&gt;0,DATE(YEAR(B86),MONTH(B86)+1,1)-Premissas!$B$11+1,0)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46389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IF(C87&gt;0,IF(DAY(B87)&lt;=Premissas!$B$12,DATE(YEAR(B87),MONTH(B87),Premissas!$B$13),DATE(YEAR(B87),MONTH(B87)+1,Premissas!$B$13))-Premissas!$B$11+1,0)</f>
        <v>0</v>
      </c>
      <c r="E87" s="12" t="n">
        <f aca="false">-SUMIF($D$5:$D$94,A87,$C$5:$C$94)*(1+Premissas!$B$14)</f>
        <v>-0</v>
      </c>
      <c r="F87" s="12" t="n">
        <f aca="false">-SUMIF($W$5:$W$94,A87,$V$5:$V$94)</f>
        <v>-0</v>
      </c>
      <c r="G87" s="29" t="n">
        <f aca="false">C87/Premissas!$B$15*Premissas!$B$16*Premissas!$B$20</f>
        <v>0</v>
      </c>
      <c r="H87" s="29" t="n">
        <f aca="false">C87/Premissas!$B$15*Premissas!$B$16*Premissas!$B$21</f>
        <v>0</v>
      </c>
      <c r="I87" s="12" t="n">
        <f aca="false">-G87*(Premissas!$B$54*Unitário!$B$22+Premissas!$B$55*Unitário!$B$23)</f>
        <v>-0</v>
      </c>
      <c r="J87" s="12" t="n">
        <f aca="false">IF($A87-(Premissas!$B$49)&gt;=1,INDEX($G$5:$G$94,$A87-(Premissas!$B$49)),0)*Premissas!$B$23*((Premissas!$B$54*Unitário!$B$22+Premissas!$B$55*Unitário!$B$23)-Premissas!$B$35)</f>
        <v>0</v>
      </c>
      <c r="K87" s="12" t="n">
        <f aca="false">IF($A87-(Premissas!$B$49+Premissas!$B$52)&gt;=1,INDEX($G$5:$G$94,$A87-(Premissas!$B$49+Premissas!$B$52)),0)*Premissas!$B$24*((Premissas!$B$54*Unitário!$B$22+Premissas!$B$55*Unitário!$B$23)-Premissas!$B$36)</f>
        <v>0</v>
      </c>
      <c r="L87" s="12" t="n">
        <f aca="false">IF($A87-(Premissas!$B$49+Premissas!$B$50)&gt;=1,INDEX($G$5:$G$94,$A87-(Premissas!$B$49+Premissas!$B$50)),0)*Unitário!$B$21*(Premissas!$B$46-(1-Premissas!$B$55)*Unitário!$B$23-(1-Premissas!$B$54)*Unitário!$B$22)</f>
        <v>0</v>
      </c>
      <c r="M87" s="12" t="n">
        <f aca="false">IF($A87-(Premissas!$B$51)&gt;=1,INDEX($H$5:$H$94,$A87-(Premissas!$B$51)),0)*(Premissas!$B$47-Unitário!$B$25)</f>
        <v>0</v>
      </c>
      <c r="N87" s="12" t="n">
        <f aca="false">-H87*(Premissas!$B$54*Unitário!$B$22+Premissas!$B$28)</f>
        <v>-0</v>
      </c>
      <c r="O87" s="12" t="n">
        <f aca="false">IF($A87-(Premissas!$B$49+Premissas!$B$52)&gt;=1,INDEX($H$5:$H$94,$A87-(Premissas!$B$49+Premissas!$B$52)),0)*Premissas!$B$24*(-Premissas!$B$47-Premissas!$B$36+Premissas!$B$28+Premissas!$B$54*Unitário!$B$22)</f>
        <v>-0</v>
      </c>
      <c r="P87" s="12" t="n">
        <f aca="false">-Premissas!$B$37*(IF($A87-(Premissas!$B$49+Premissas!$B$50)&gt;=1,INDEX($G$5:$G$94,$A87-(Premissas!$B$49+Premissas!$B$50)),0)*Unitário!$B$21*Premissas!$B$46+IF($A87-(Premissas!$B$51)&gt;=1,INDEX($H$5:$H$94,$A87-(Premissas!$B$51)),0)*(1-Premissas!$B$24)*Premissas!$B$47)</f>
        <v>-0</v>
      </c>
      <c r="Q87" s="12" t="n">
        <f aca="false">IF(DAY(B87)=1,-(Premissas!$B$38+Premissas!$B$59*Premissas!$B$60),0)</f>
        <v>0</v>
      </c>
      <c r="R87" s="12" t="n">
        <f aca="false">E87+F87+SUM(I87:Q87)</f>
        <v>0</v>
      </c>
      <c r="S87" s="12" t="n">
        <f aca="false">S86+R87</f>
        <v>1168.0802628</v>
      </c>
      <c r="T87" s="15" t="n">
        <f aca="false">IF(AND($A87&gt;$B$100,S87&gt;=0),1,0)</f>
        <v>1</v>
      </c>
      <c r="U87" s="12" t="n">
        <f aca="false">S87-SUM($E$5:E87)-(1+Premissas!$B$14)*SUM($C$5:C87)</f>
        <v>1168.0802628</v>
      </c>
      <c r="V87" s="12" t="n">
        <f aca="false">C87/Premissas!$B$15*Premissas!$B$17+(G87+H87)*Premissas!$B$18</f>
        <v>0</v>
      </c>
      <c r="W87" s="15" t="n">
        <f aca="false">IF(V87&gt;0,DATE(YEAR(B87),MONTH(B87)+1,1)-Premissas!$B$11+1,0)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46390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IF(C88&gt;0,IF(DAY(B88)&lt;=Premissas!$B$12,DATE(YEAR(B88),MONTH(B88),Premissas!$B$13),DATE(YEAR(B88),MONTH(B88)+1,Premissas!$B$13))-Premissas!$B$11+1,0)</f>
        <v>0</v>
      </c>
      <c r="E88" s="12" t="n">
        <f aca="false">-SUMIF($D$5:$D$94,A88,$C$5:$C$94)*(1+Premissas!$B$14)</f>
        <v>-0</v>
      </c>
      <c r="F88" s="12" t="n">
        <f aca="false">-SUMIF($W$5:$W$94,A88,$V$5:$V$94)</f>
        <v>-0</v>
      </c>
      <c r="G88" s="29" t="n">
        <f aca="false">C88/Premissas!$B$15*Premissas!$B$16*Premissas!$B$20</f>
        <v>0</v>
      </c>
      <c r="H88" s="29" t="n">
        <f aca="false">C88/Premissas!$B$15*Premissas!$B$16*Premissas!$B$21</f>
        <v>0</v>
      </c>
      <c r="I88" s="12" t="n">
        <f aca="false">-G88*(Premissas!$B$54*Unitário!$B$22+Premissas!$B$55*Unitário!$B$23)</f>
        <v>-0</v>
      </c>
      <c r="J88" s="12" t="n">
        <f aca="false">IF($A88-(Premissas!$B$49)&gt;=1,INDEX($G$5:$G$94,$A88-(Premissas!$B$49)),0)*Premissas!$B$23*((Premissas!$B$54*Unitário!$B$22+Premissas!$B$55*Unitário!$B$23)-Premissas!$B$35)</f>
        <v>0</v>
      </c>
      <c r="K88" s="12" t="n">
        <f aca="false">IF($A88-(Premissas!$B$49+Premissas!$B$52)&gt;=1,INDEX($G$5:$G$94,$A88-(Premissas!$B$49+Premissas!$B$52)),0)*Premissas!$B$24*((Premissas!$B$54*Unitário!$B$22+Premissas!$B$55*Unitário!$B$23)-Premissas!$B$36)</f>
        <v>0</v>
      </c>
      <c r="L88" s="12" t="n">
        <f aca="false">IF($A88-(Premissas!$B$49+Premissas!$B$50)&gt;=1,INDEX($G$5:$G$94,$A88-(Premissas!$B$49+Premissas!$B$50)),0)*Unitário!$B$21*(Premissas!$B$46-(1-Premissas!$B$55)*Unitário!$B$23-(1-Premissas!$B$54)*Unitário!$B$22)</f>
        <v>0</v>
      </c>
      <c r="M88" s="12" t="n">
        <f aca="false">IF($A88-(Premissas!$B$51)&gt;=1,INDEX($H$5:$H$94,$A88-(Premissas!$B$51)),0)*(Premissas!$B$47-Unitário!$B$25)</f>
        <v>0</v>
      </c>
      <c r="N88" s="12" t="n">
        <f aca="false">-H88*(Premissas!$B$54*Unitário!$B$22+Premissas!$B$28)</f>
        <v>-0</v>
      </c>
      <c r="O88" s="12" t="n">
        <f aca="false">IF($A88-(Premissas!$B$49+Premissas!$B$52)&gt;=1,INDEX($H$5:$H$94,$A88-(Premissas!$B$49+Premissas!$B$52)),0)*Premissas!$B$24*(-Premissas!$B$47-Premissas!$B$36+Premissas!$B$28+Premissas!$B$54*Unitário!$B$22)</f>
        <v>-0</v>
      </c>
      <c r="P88" s="12" t="n">
        <f aca="false">-Premissas!$B$37*(IF($A88-(Premissas!$B$49+Premissas!$B$50)&gt;=1,INDEX($G$5:$G$94,$A88-(Premissas!$B$49+Premissas!$B$50)),0)*Unitário!$B$21*Premissas!$B$46+IF($A88-(Premissas!$B$51)&gt;=1,INDEX($H$5:$H$94,$A88-(Premissas!$B$51)),0)*(1-Premissas!$B$24)*Premissas!$B$47)</f>
        <v>-0</v>
      </c>
      <c r="Q88" s="12" t="n">
        <f aca="false">IF(DAY(B88)=1,-(Premissas!$B$38+Premissas!$B$59*Premissas!$B$60),0)</f>
        <v>0</v>
      </c>
      <c r="R88" s="12" t="n">
        <f aca="false">E88+F88+SUM(I88:Q88)</f>
        <v>0</v>
      </c>
      <c r="S88" s="12" t="n">
        <f aca="false">S87+R88</f>
        <v>1168.0802628</v>
      </c>
      <c r="T88" s="15" t="n">
        <f aca="false">IF(AND($A88&gt;$B$100,S88&gt;=0),1,0)</f>
        <v>1</v>
      </c>
      <c r="U88" s="12" t="n">
        <f aca="false">S88-SUM($E$5:E88)-(1+Premissas!$B$14)*SUM($C$5:C88)</f>
        <v>1168.0802628</v>
      </c>
      <c r="V88" s="12" t="n">
        <f aca="false">C88/Premissas!$B$15*Premissas!$B$17+(G88+H88)*Premissas!$B$18</f>
        <v>0</v>
      </c>
      <c r="W88" s="15" t="n">
        <f aca="false">IF(V88&gt;0,DATE(YEAR(B88),MONTH(B88)+1,1)-Premissas!$B$11+1,0)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46391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IF(C89&gt;0,IF(DAY(B89)&lt;=Premissas!$B$12,DATE(YEAR(B89),MONTH(B89),Premissas!$B$13),DATE(YEAR(B89),MONTH(B89)+1,Premissas!$B$13))-Premissas!$B$11+1,0)</f>
        <v>0</v>
      </c>
      <c r="E89" s="12" t="n">
        <f aca="false">-SUMIF($D$5:$D$94,A89,$C$5:$C$94)*(1+Premissas!$B$14)</f>
        <v>-0</v>
      </c>
      <c r="F89" s="12" t="n">
        <f aca="false">-SUMIF($W$5:$W$94,A89,$V$5:$V$94)</f>
        <v>-0</v>
      </c>
      <c r="G89" s="29" t="n">
        <f aca="false">C89/Premissas!$B$15*Premissas!$B$16*Premissas!$B$20</f>
        <v>0</v>
      </c>
      <c r="H89" s="29" t="n">
        <f aca="false">C89/Premissas!$B$15*Premissas!$B$16*Premissas!$B$21</f>
        <v>0</v>
      </c>
      <c r="I89" s="12" t="n">
        <f aca="false">-G89*(Premissas!$B$54*Unitário!$B$22+Premissas!$B$55*Unitário!$B$23)</f>
        <v>-0</v>
      </c>
      <c r="J89" s="12" t="n">
        <f aca="false">IF($A89-(Premissas!$B$49)&gt;=1,INDEX($G$5:$G$94,$A89-(Premissas!$B$49)),0)*Premissas!$B$23*((Premissas!$B$54*Unitário!$B$22+Premissas!$B$55*Unitário!$B$23)-Premissas!$B$35)</f>
        <v>0</v>
      </c>
      <c r="K89" s="12" t="n">
        <f aca="false">IF($A89-(Premissas!$B$49+Premissas!$B$52)&gt;=1,INDEX($G$5:$G$94,$A89-(Premissas!$B$49+Premissas!$B$52)),0)*Premissas!$B$24*((Premissas!$B$54*Unitário!$B$22+Premissas!$B$55*Unitário!$B$23)-Premissas!$B$36)</f>
        <v>0</v>
      </c>
      <c r="L89" s="12" t="n">
        <f aca="false">IF($A89-(Premissas!$B$49+Premissas!$B$50)&gt;=1,INDEX($G$5:$G$94,$A89-(Premissas!$B$49+Premissas!$B$50)),0)*Unitário!$B$21*(Premissas!$B$46-(1-Premissas!$B$55)*Unitário!$B$23-(1-Premissas!$B$54)*Unitário!$B$22)</f>
        <v>0</v>
      </c>
      <c r="M89" s="12" t="n">
        <f aca="false">IF($A89-(Premissas!$B$51)&gt;=1,INDEX($H$5:$H$94,$A89-(Premissas!$B$51)),0)*(Premissas!$B$47-Unitário!$B$25)</f>
        <v>0</v>
      </c>
      <c r="N89" s="12" t="n">
        <f aca="false">-H89*(Premissas!$B$54*Unitário!$B$22+Premissas!$B$28)</f>
        <v>-0</v>
      </c>
      <c r="O89" s="12" t="n">
        <f aca="false">IF($A89-(Premissas!$B$49+Premissas!$B$52)&gt;=1,INDEX($H$5:$H$94,$A89-(Premissas!$B$49+Premissas!$B$52)),0)*Premissas!$B$24*(-Premissas!$B$47-Premissas!$B$36+Premissas!$B$28+Premissas!$B$54*Unitário!$B$22)</f>
        <v>-0</v>
      </c>
      <c r="P89" s="12" t="n">
        <f aca="false">-Premissas!$B$37*(IF($A89-(Premissas!$B$49+Premissas!$B$50)&gt;=1,INDEX($G$5:$G$94,$A89-(Premissas!$B$49+Premissas!$B$50)),0)*Unitário!$B$21*Premissas!$B$46+IF($A89-(Premissas!$B$51)&gt;=1,INDEX($H$5:$H$94,$A89-(Premissas!$B$51)),0)*(1-Premissas!$B$24)*Premissas!$B$47)</f>
        <v>-0</v>
      </c>
      <c r="Q89" s="12" t="n">
        <f aca="false">IF(DAY(B89)=1,-(Premissas!$B$38+Premissas!$B$59*Premissas!$B$60),0)</f>
        <v>0</v>
      </c>
      <c r="R89" s="12" t="n">
        <f aca="false">E89+F89+SUM(I89:Q89)</f>
        <v>0</v>
      </c>
      <c r="S89" s="12" t="n">
        <f aca="false">S88+R89</f>
        <v>1168.0802628</v>
      </c>
      <c r="T89" s="15" t="n">
        <f aca="false">IF(AND($A89&gt;$B$100,S89&gt;=0),1,0)</f>
        <v>1</v>
      </c>
      <c r="U89" s="12" t="n">
        <f aca="false">S89-SUM($E$5:E89)-(1+Premissas!$B$14)*SUM($C$5:C89)</f>
        <v>1168.0802628</v>
      </c>
      <c r="V89" s="12" t="n">
        <f aca="false">C89/Premissas!$B$15*Premissas!$B$17+(G89+H89)*Premissas!$B$18</f>
        <v>0</v>
      </c>
      <c r="W89" s="15" t="n">
        <f aca="false">IF(V89&gt;0,DATE(YEAR(B89),MONTH(B89)+1,1)-Premissas!$B$11+1,0)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46392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IF(C90&gt;0,IF(DAY(B90)&lt;=Premissas!$B$12,DATE(YEAR(B90),MONTH(B90),Premissas!$B$13),DATE(YEAR(B90),MONTH(B90)+1,Premissas!$B$13))-Premissas!$B$11+1,0)</f>
        <v>0</v>
      </c>
      <c r="E90" s="12" t="n">
        <f aca="false">-SUMIF($D$5:$D$94,A90,$C$5:$C$94)*(1+Premissas!$B$14)</f>
        <v>-0</v>
      </c>
      <c r="F90" s="12" t="n">
        <f aca="false">-SUMIF($W$5:$W$94,A90,$V$5:$V$94)</f>
        <v>-0</v>
      </c>
      <c r="G90" s="29" t="n">
        <f aca="false">C90/Premissas!$B$15*Premissas!$B$16*Premissas!$B$20</f>
        <v>0</v>
      </c>
      <c r="H90" s="29" t="n">
        <f aca="false">C90/Premissas!$B$15*Premissas!$B$16*Premissas!$B$21</f>
        <v>0</v>
      </c>
      <c r="I90" s="12" t="n">
        <f aca="false">-G90*(Premissas!$B$54*Unitário!$B$22+Premissas!$B$55*Unitário!$B$23)</f>
        <v>-0</v>
      </c>
      <c r="J90" s="12" t="n">
        <f aca="false">IF($A90-(Premissas!$B$49)&gt;=1,INDEX($G$5:$G$94,$A90-(Premissas!$B$49)),0)*Premissas!$B$23*((Premissas!$B$54*Unitário!$B$22+Premissas!$B$55*Unitário!$B$23)-Premissas!$B$35)</f>
        <v>0</v>
      </c>
      <c r="K90" s="12" t="n">
        <f aca="false">IF($A90-(Premissas!$B$49+Premissas!$B$52)&gt;=1,INDEX($G$5:$G$94,$A90-(Premissas!$B$49+Premissas!$B$52)),0)*Premissas!$B$24*((Premissas!$B$54*Unitário!$B$22+Premissas!$B$55*Unitário!$B$23)-Premissas!$B$36)</f>
        <v>0</v>
      </c>
      <c r="L90" s="12" t="n">
        <f aca="false">IF($A90-(Premissas!$B$49+Premissas!$B$50)&gt;=1,INDEX($G$5:$G$94,$A90-(Premissas!$B$49+Premissas!$B$50)),0)*Unitário!$B$21*(Premissas!$B$46-(1-Premissas!$B$55)*Unitário!$B$23-(1-Premissas!$B$54)*Unitário!$B$22)</f>
        <v>0</v>
      </c>
      <c r="M90" s="12" t="n">
        <f aca="false">IF($A90-(Premissas!$B$51)&gt;=1,INDEX($H$5:$H$94,$A90-(Premissas!$B$51)),0)*(Premissas!$B$47-Unitário!$B$25)</f>
        <v>0</v>
      </c>
      <c r="N90" s="12" t="n">
        <f aca="false">-H90*(Premissas!$B$54*Unitário!$B$22+Premissas!$B$28)</f>
        <v>-0</v>
      </c>
      <c r="O90" s="12" t="n">
        <f aca="false">IF($A90-(Premissas!$B$49+Premissas!$B$52)&gt;=1,INDEX($H$5:$H$94,$A90-(Premissas!$B$49+Premissas!$B$52)),0)*Premissas!$B$24*(-Premissas!$B$47-Premissas!$B$36+Premissas!$B$28+Premissas!$B$54*Unitário!$B$22)</f>
        <v>-0</v>
      </c>
      <c r="P90" s="12" t="n">
        <f aca="false">-Premissas!$B$37*(IF($A90-(Premissas!$B$49+Premissas!$B$50)&gt;=1,INDEX($G$5:$G$94,$A90-(Premissas!$B$49+Premissas!$B$50)),0)*Unitário!$B$21*Premissas!$B$46+IF($A90-(Premissas!$B$51)&gt;=1,INDEX($H$5:$H$94,$A90-(Premissas!$B$51)),0)*(1-Premissas!$B$24)*Premissas!$B$47)</f>
        <v>-0</v>
      </c>
      <c r="Q90" s="12" t="n">
        <f aca="false">IF(DAY(B90)=1,-(Premissas!$B$38+Premissas!$B$59*Premissas!$B$60),0)</f>
        <v>0</v>
      </c>
      <c r="R90" s="12" t="n">
        <f aca="false">E90+F90+SUM(I90:Q90)</f>
        <v>0</v>
      </c>
      <c r="S90" s="12" t="n">
        <f aca="false">S89+R90</f>
        <v>1168.0802628</v>
      </c>
      <c r="T90" s="15" t="n">
        <f aca="false">IF(AND($A90&gt;$B$100,S90&gt;=0),1,0)</f>
        <v>1</v>
      </c>
      <c r="U90" s="12" t="n">
        <f aca="false">S90-SUM($E$5:E90)-(1+Premissas!$B$14)*SUM($C$5:C90)</f>
        <v>1168.0802628</v>
      </c>
      <c r="V90" s="12" t="n">
        <f aca="false">C90/Premissas!$B$15*Premissas!$B$17+(G90+H90)*Premissas!$B$18</f>
        <v>0</v>
      </c>
      <c r="W90" s="15" t="n">
        <f aca="false">IF(V90&gt;0,DATE(YEAR(B90),MONTH(B90)+1,1)-Premissas!$B$11+1,0)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46393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IF(C91&gt;0,IF(DAY(B91)&lt;=Premissas!$B$12,DATE(YEAR(B91),MONTH(B91),Premissas!$B$13),DATE(YEAR(B91),MONTH(B91)+1,Premissas!$B$13))-Premissas!$B$11+1,0)</f>
        <v>0</v>
      </c>
      <c r="E91" s="12" t="n">
        <f aca="false">-SUMIF($D$5:$D$94,A91,$C$5:$C$94)*(1+Premissas!$B$14)</f>
        <v>-0</v>
      </c>
      <c r="F91" s="12" t="n">
        <f aca="false">-SUMIF($W$5:$W$94,A91,$V$5:$V$94)</f>
        <v>-0</v>
      </c>
      <c r="G91" s="29" t="n">
        <f aca="false">C91/Premissas!$B$15*Premissas!$B$16*Premissas!$B$20</f>
        <v>0</v>
      </c>
      <c r="H91" s="29" t="n">
        <f aca="false">C91/Premissas!$B$15*Premissas!$B$16*Premissas!$B$21</f>
        <v>0</v>
      </c>
      <c r="I91" s="12" t="n">
        <f aca="false">-G91*(Premissas!$B$54*Unitário!$B$22+Premissas!$B$55*Unitário!$B$23)</f>
        <v>-0</v>
      </c>
      <c r="J91" s="12" t="n">
        <f aca="false">IF($A91-(Premissas!$B$49)&gt;=1,INDEX($G$5:$G$94,$A91-(Premissas!$B$49)),0)*Premissas!$B$23*((Premissas!$B$54*Unitário!$B$22+Premissas!$B$55*Unitário!$B$23)-Premissas!$B$35)</f>
        <v>0</v>
      </c>
      <c r="K91" s="12" t="n">
        <f aca="false">IF($A91-(Premissas!$B$49+Premissas!$B$52)&gt;=1,INDEX($G$5:$G$94,$A91-(Premissas!$B$49+Premissas!$B$52)),0)*Premissas!$B$24*((Premissas!$B$54*Unitário!$B$22+Premissas!$B$55*Unitário!$B$23)-Premissas!$B$36)</f>
        <v>0</v>
      </c>
      <c r="L91" s="12" t="n">
        <f aca="false">IF($A91-(Premissas!$B$49+Premissas!$B$50)&gt;=1,INDEX($G$5:$G$94,$A91-(Premissas!$B$49+Premissas!$B$50)),0)*Unitário!$B$21*(Premissas!$B$46-(1-Premissas!$B$55)*Unitário!$B$23-(1-Premissas!$B$54)*Unitário!$B$22)</f>
        <v>0</v>
      </c>
      <c r="M91" s="12" t="n">
        <f aca="false">IF($A91-(Premissas!$B$51)&gt;=1,INDEX($H$5:$H$94,$A91-(Premissas!$B$51)),0)*(Premissas!$B$47-Unitário!$B$25)</f>
        <v>0</v>
      </c>
      <c r="N91" s="12" t="n">
        <f aca="false">-H91*(Premissas!$B$54*Unitário!$B$22+Premissas!$B$28)</f>
        <v>-0</v>
      </c>
      <c r="O91" s="12" t="n">
        <f aca="false">IF($A91-(Premissas!$B$49+Premissas!$B$52)&gt;=1,INDEX($H$5:$H$94,$A91-(Premissas!$B$49+Premissas!$B$52)),0)*Premissas!$B$24*(-Premissas!$B$47-Premissas!$B$36+Premissas!$B$28+Premissas!$B$54*Unitário!$B$22)</f>
        <v>-0</v>
      </c>
      <c r="P91" s="12" t="n">
        <f aca="false">-Premissas!$B$37*(IF($A91-(Premissas!$B$49+Premissas!$B$50)&gt;=1,INDEX($G$5:$G$94,$A91-(Premissas!$B$49+Premissas!$B$50)),0)*Unitário!$B$21*Premissas!$B$46+IF($A91-(Premissas!$B$51)&gt;=1,INDEX($H$5:$H$94,$A91-(Premissas!$B$51)),0)*(1-Premissas!$B$24)*Premissas!$B$47)</f>
        <v>-0</v>
      </c>
      <c r="Q91" s="12" t="n">
        <f aca="false">IF(DAY(B91)=1,-(Premissas!$B$38+Premissas!$B$59*Premissas!$B$60),0)</f>
        <v>0</v>
      </c>
      <c r="R91" s="12" t="n">
        <f aca="false">E91+F91+SUM(I91:Q91)</f>
        <v>0</v>
      </c>
      <c r="S91" s="12" t="n">
        <f aca="false">S90+R91</f>
        <v>1168.0802628</v>
      </c>
      <c r="T91" s="15" t="n">
        <f aca="false">IF(AND($A91&gt;$B$100,S91&gt;=0),1,0)</f>
        <v>1</v>
      </c>
      <c r="U91" s="12" t="n">
        <f aca="false">S91-SUM($E$5:E91)-(1+Premissas!$B$14)*SUM($C$5:C91)</f>
        <v>1168.0802628</v>
      </c>
      <c r="V91" s="12" t="n">
        <f aca="false">C91/Premissas!$B$15*Premissas!$B$17+(G91+H91)*Premissas!$B$18</f>
        <v>0</v>
      </c>
      <c r="W91" s="15" t="n">
        <f aca="false">IF(V91&gt;0,DATE(YEAR(B91),MONTH(B91)+1,1)-Premissas!$B$11+1,0)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46394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IF(C92&gt;0,IF(DAY(B92)&lt;=Premissas!$B$12,DATE(YEAR(B92),MONTH(B92),Premissas!$B$13),DATE(YEAR(B92),MONTH(B92)+1,Premissas!$B$13))-Premissas!$B$11+1,0)</f>
        <v>0</v>
      </c>
      <c r="E92" s="12" t="n">
        <f aca="false">-SUMIF($D$5:$D$94,A92,$C$5:$C$94)*(1+Premissas!$B$14)</f>
        <v>-0</v>
      </c>
      <c r="F92" s="12" t="n">
        <f aca="false">-SUMIF($W$5:$W$94,A92,$V$5:$V$94)</f>
        <v>-0</v>
      </c>
      <c r="G92" s="29" t="n">
        <f aca="false">C92/Premissas!$B$15*Premissas!$B$16*Premissas!$B$20</f>
        <v>0</v>
      </c>
      <c r="H92" s="29" t="n">
        <f aca="false">C92/Premissas!$B$15*Premissas!$B$16*Premissas!$B$21</f>
        <v>0</v>
      </c>
      <c r="I92" s="12" t="n">
        <f aca="false">-G92*(Premissas!$B$54*Unitário!$B$22+Premissas!$B$55*Unitário!$B$23)</f>
        <v>-0</v>
      </c>
      <c r="J92" s="12" t="n">
        <f aca="false">IF($A92-(Premissas!$B$49)&gt;=1,INDEX($G$5:$G$94,$A92-(Premissas!$B$49)),0)*Premissas!$B$23*((Premissas!$B$54*Unitário!$B$22+Premissas!$B$55*Unitário!$B$23)-Premissas!$B$35)</f>
        <v>0</v>
      </c>
      <c r="K92" s="12" t="n">
        <f aca="false">IF($A92-(Premissas!$B$49+Premissas!$B$52)&gt;=1,INDEX($G$5:$G$94,$A92-(Premissas!$B$49+Premissas!$B$52)),0)*Premissas!$B$24*((Premissas!$B$54*Unitário!$B$22+Premissas!$B$55*Unitário!$B$23)-Premissas!$B$36)</f>
        <v>0</v>
      </c>
      <c r="L92" s="12" t="n">
        <f aca="false">IF($A92-(Premissas!$B$49+Premissas!$B$50)&gt;=1,INDEX($G$5:$G$94,$A92-(Premissas!$B$49+Premissas!$B$50)),0)*Unitário!$B$21*(Premissas!$B$46-(1-Premissas!$B$55)*Unitário!$B$23-(1-Premissas!$B$54)*Unitário!$B$22)</f>
        <v>0</v>
      </c>
      <c r="M92" s="12" t="n">
        <f aca="false">IF($A92-(Premissas!$B$51)&gt;=1,INDEX($H$5:$H$94,$A92-(Premissas!$B$51)),0)*(Premissas!$B$47-Unitário!$B$25)</f>
        <v>0</v>
      </c>
      <c r="N92" s="12" t="n">
        <f aca="false">-H92*(Premissas!$B$54*Unitário!$B$22+Premissas!$B$28)</f>
        <v>-0</v>
      </c>
      <c r="O92" s="12" t="n">
        <f aca="false">IF($A92-(Premissas!$B$49+Premissas!$B$52)&gt;=1,INDEX($H$5:$H$94,$A92-(Premissas!$B$49+Premissas!$B$52)),0)*Premissas!$B$24*(-Premissas!$B$47-Premissas!$B$36+Premissas!$B$28+Premissas!$B$54*Unitário!$B$22)</f>
        <v>-0</v>
      </c>
      <c r="P92" s="12" t="n">
        <f aca="false">-Premissas!$B$37*(IF($A92-(Premissas!$B$49+Premissas!$B$50)&gt;=1,INDEX($G$5:$G$94,$A92-(Premissas!$B$49+Premissas!$B$50)),0)*Unitário!$B$21*Premissas!$B$46+IF($A92-(Premissas!$B$51)&gt;=1,INDEX($H$5:$H$94,$A92-(Premissas!$B$51)),0)*(1-Premissas!$B$24)*Premissas!$B$47)</f>
        <v>-0</v>
      </c>
      <c r="Q92" s="12" t="n">
        <f aca="false">IF(DAY(B92)=1,-(Premissas!$B$38+Premissas!$B$59*Premissas!$B$60),0)</f>
        <v>0</v>
      </c>
      <c r="R92" s="12" t="n">
        <f aca="false">E92+F92+SUM(I92:Q92)</f>
        <v>0</v>
      </c>
      <c r="S92" s="12" t="n">
        <f aca="false">S91+R92</f>
        <v>1168.0802628</v>
      </c>
      <c r="T92" s="15" t="n">
        <f aca="false">IF(AND($A92&gt;$B$100,S92&gt;=0),1,0)</f>
        <v>1</v>
      </c>
      <c r="U92" s="12" t="n">
        <f aca="false">S92-SUM($E$5:E92)-(1+Premissas!$B$14)*SUM($C$5:C92)</f>
        <v>1168.0802628</v>
      </c>
      <c r="V92" s="12" t="n">
        <f aca="false">C92/Premissas!$B$15*Premissas!$B$17+(G92+H92)*Premissas!$B$18</f>
        <v>0</v>
      </c>
      <c r="W92" s="15" t="n">
        <f aca="false">IF(V92&gt;0,DATE(YEAR(B92),MONTH(B92)+1,1)-Premissas!$B$11+1,0)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46395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IF(C93&gt;0,IF(DAY(B93)&lt;=Premissas!$B$12,DATE(YEAR(B93),MONTH(B93),Premissas!$B$13),DATE(YEAR(B93),MONTH(B93)+1,Premissas!$B$13))-Premissas!$B$11+1,0)</f>
        <v>0</v>
      </c>
      <c r="E93" s="12" t="n">
        <f aca="false">-SUMIF($D$5:$D$94,A93,$C$5:$C$94)*(1+Premissas!$B$14)</f>
        <v>-0</v>
      </c>
      <c r="F93" s="12" t="n">
        <f aca="false">-SUMIF($W$5:$W$94,A93,$V$5:$V$94)</f>
        <v>-0</v>
      </c>
      <c r="G93" s="29" t="n">
        <f aca="false">C93/Premissas!$B$15*Premissas!$B$16*Premissas!$B$20</f>
        <v>0</v>
      </c>
      <c r="H93" s="29" t="n">
        <f aca="false">C93/Premissas!$B$15*Premissas!$B$16*Premissas!$B$21</f>
        <v>0</v>
      </c>
      <c r="I93" s="12" t="n">
        <f aca="false">-G93*(Premissas!$B$54*Unitário!$B$22+Premissas!$B$55*Unitário!$B$23)</f>
        <v>-0</v>
      </c>
      <c r="J93" s="12" t="n">
        <f aca="false">IF($A93-(Premissas!$B$49)&gt;=1,INDEX($G$5:$G$94,$A93-(Premissas!$B$49)),0)*Premissas!$B$23*((Premissas!$B$54*Unitário!$B$22+Premissas!$B$55*Unitário!$B$23)-Premissas!$B$35)</f>
        <v>0</v>
      </c>
      <c r="K93" s="12" t="n">
        <f aca="false">IF($A93-(Premissas!$B$49+Premissas!$B$52)&gt;=1,INDEX($G$5:$G$94,$A93-(Premissas!$B$49+Premissas!$B$52)),0)*Premissas!$B$24*((Premissas!$B$54*Unitário!$B$22+Premissas!$B$55*Unitário!$B$23)-Premissas!$B$36)</f>
        <v>0</v>
      </c>
      <c r="L93" s="12" t="n">
        <f aca="false">IF($A93-(Premissas!$B$49+Premissas!$B$50)&gt;=1,INDEX($G$5:$G$94,$A93-(Premissas!$B$49+Premissas!$B$50)),0)*Unitário!$B$21*(Premissas!$B$46-(1-Premissas!$B$55)*Unitário!$B$23-(1-Premissas!$B$54)*Unitário!$B$22)</f>
        <v>0</v>
      </c>
      <c r="M93" s="12" t="n">
        <f aca="false">IF($A93-(Premissas!$B$51)&gt;=1,INDEX($H$5:$H$94,$A93-(Premissas!$B$51)),0)*(Premissas!$B$47-Unitário!$B$25)</f>
        <v>0</v>
      </c>
      <c r="N93" s="12" t="n">
        <f aca="false">-H93*(Premissas!$B$54*Unitário!$B$22+Premissas!$B$28)</f>
        <v>-0</v>
      </c>
      <c r="O93" s="12" t="n">
        <f aca="false">IF($A93-(Premissas!$B$49+Premissas!$B$52)&gt;=1,INDEX($H$5:$H$94,$A93-(Premissas!$B$49+Premissas!$B$52)),0)*Premissas!$B$24*(-Premissas!$B$47-Premissas!$B$36+Premissas!$B$28+Premissas!$B$54*Unitário!$B$22)</f>
        <v>-0</v>
      </c>
      <c r="P93" s="12" t="n">
        <f aca="false">-Premissas!$B$37*(IF($A93-(Premissas!$B$49+Premissas!$B$50)&gt;=1,INDEX($G$5:$G$94,$A93-(Premissas!$B$49+Premissas!$B$50)),0)*Unitário!$B$21*Premissas!$B$46+IF($A93-(Premissas!$B$51)&gt;=1,INDEX($H$5:$H$94,$A93-(Premissas!$B$51)),0)*(1-Premissas!$B$24)*Premissas!$B$47)</f>
        <v>-0</v>
      </c>
      <c r="Q93" s="12" t="n">
        <f aca="false">IF(DAY(B93)=1,-(Premissas!$B$38+Premissas!$B$59*Premissas!$B$60),0)</f>
        <v>0</v>
      </c>
      <c r="R93" s="12" t="n">
        <f aca="false">E93+F93+SUM(I93:Q93)</f>
        <v>0</v>
      </c>
      <c r="S93" s="12" t="n">
        <f aca="false">S92+R93</f>
        <v>1168.0802628</v>
      </c>
      <c r="T93" s="15" t="n">
        <f aca="false">IF(AND($A93&gt;$B$100,S93&gt;=0),1,0)</f>
        <v>1</v>
      </c>
      <c r="U93" s="12" t="n">
        <f aca="false">S93-SUM($E$5:E93)-(1+Premissas!$B$14)*SUM($C$5:C93)</f>
        <v>1168.0802628</v>
      </c>
      <c r="V93" s="12" t="n">
        <f aca="false">C93/Premissas!$B$15*Premissas!$B$17+(G93+H93)*Premissas!$B$18</f>
        <v>0</v>
      </c>
      <c r="W93" s="15" t="n">
        <f aca="false">IF(V93&gt;0,DATE(YEAR(B93),MONTH(B93)+1,1)-Premissas!$B$11+1,0)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46396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IF(C94&gt;0,IF(DAY(B94)&lt;=Premissas!$B$12,DATE(YEAR(B94),MONTH(B94),Premissas!$B$13),DATE(YEAR(B94),MONTH(B94)+1,Premissas!$B$13))-Premissas!$B$11+1,0)</f>
        <v>0</v>
      </c>
      <c r="E94" s="12" t="n">
        <f aca="false">-SUMIF($D$5:$D$94,A94,$C$5:$C$94)*(1+Premissas!$B$14)</f>
        <v>-0</v>
      </c>
      <c r="F94" s="12" t="n">
        <f aca="false">-SUMIF($W$5:$W$94,A94,$V$5:$V$94)</f>
        <v>-0</v>
      </c>
      <c r="G94" s="29" t="n">
        <f aca="false">C94/Premissas!$B$15*Premissas!$B$16*Premissas!$B$20</f>
        <v>0</v>
      </c>
      <c r="H94" s="29" t="n">
        <f aca="false">C94/Premissas!$B$15*Premissas!$B$16*Premissas!$B$21</f>
        <v>0</v>
      </c>
      <c r="I94" s="12" t="n">
        <f aca="false">-G94*(Premissas!$B$54*Unitário!$B$22+Premissas!$B$55*Unitário!$B$23)</f>
        <v>-0</v>
      </c>
      <c r="J94" s="12" t="n">
        <f aca="false">IF($A94-(Premissas!$B$49)&gt;=1,INDEX($G$5:$G$94,$A94-(Premissas!$B$49)),0)*Premissas!$B$23*((Premissas!$B$54*Unitário!$B$22+Premissas!$B$55*Unitário!$B$23)-Premissas!$B$35)</f>
        <v>0</v>
      </c>
      <c r="K94" s="12" t="n">
        <f aca="false">IF($A94-(Premissas!$B$49+Premissas!$B$52)&gt;=1,INDEX($G$5:$G$94,$A94-(Premissas!$B$49+Premissas!$B$52)),0)*Premissas!$B$24*((Premissas!$B$54*Unitário!$B$22+Premissas!$B$55*Unitário!$B$23)-Premissas!$B$36)</f>
        <v>0</v>
      </c>
      <c r="L94" s="12" t="n">
        <f aca="false">IF($A94-(Premissas!$B$49+Premissas!$B$50)&gt;=1,INDEX($G$5:$G$94,$A94-(Premissas!$B$49+Premissas!$B$50)),0)*Unitário!$B$21*(Premissas!$B$46-(1-Premissas!$B$55)*Unitário!$B$23-(1-Premissas!$B$54)*Unitário!$B$22)</f>
        <v>0</v>
      </c>
      <c r="M94" s="12" t="n">
        <f aca="false">IF($A94-(Premissas!$B$51)&gt;=1,INDEX($H$5:$H$94,$A94-(Premissas!$B$51)),0)*(Premissas!$B$47-Unitário!$B$25)</f>
        <v>0</v>
      </c>
      <c r="N94" s="12" t="n">
        <f aca="false">-H94*(Premissas!$B$54*Unitário!$B$22+Premissas!$B$28)</f>
        <v>-0</v>
      </c>
      <c r="O94" s="12" t="n">
        <f aca="false">IF($A94-(Premissas!$B$49+Premissas!$B$52)&gt;=1,INDEX($H$5:$H$94,$A94-(Premissas!$B$49+Premissas!$B$52)),0)*Premissas!$B$24*(-Premissas!$B$47-Premissas!$B$36+Premissas!$B$28+Premissas!$B$54*Unitário!$B$22)</f>
        <v>-0</v>
      </c>
      <c r="P94" s="12" t="n">
        <f aca="false">-Premissas!$B$37*(IF($A94-(Premissas!$B$49+Premissas!$B$50)&gt;=1,INDEX($G$5:$G$94,$A94-(Premissas!$B$49+Premissas!$B$50)),0)*Unitário!$B$21*Premissas!$B$46+IF($A94-(Premissas!$B$51)&gt;=1,INDEX($H$5:$H$94,$A94-(Premissas!$B$51)),0)*(1-Premissas!$B$24)*Premissas!$B$47)</f>
        <v>-0</v>
      </c>
      <c r="Q94" s="12" t="n">
        <f aca="false">IF(DAY(B94)=1,-(Premissas!$B$38+Premissas!$B$59*Premissas!$B$60),0)</f>
        <v>0</v>
      </c>
      <c r="R94" s="12" t="n">
        <f aca="false">E94+F94+SUM(I94:Q94)</f>
        <v>0</v>
      </c>
      <c r="S94" s="12" t="n">
        <f aca="false">S93+R94</f>
        <v>1168.0802628</v>
      </c>
      <c r="T94" s="15" t="n">
        <f aca="false">IF(AND($A94&gt;$B$100,S94&gt;=0),1,0)</f>
        <v>1</v>
      </c>
      <c r="U94" s="12" t="n">
        <f aca="false">S94-SUM($E$5:E94)-(1+Premissas!$B$14)*SUM($C$5:C94)</f>
        <v>1168.0802628</v>
      </c>
      <c r="V94" s="12" t="n">
        <f aca="false">C94/Premissas!$B$15*Premissas!$B$17+(G94+H94)*Premissas!$B$18</f>
        <v>0</v>
      </c>
      <c r="W94" s="15" t="n">
        <f aca="false">IF(V94&gt;0,DATE(YEAR(B94),MONTH(B94)+1,1)-Premissas!$B$11+1,0)</f>
        <v>0</v>
      </c>
    </row>
    <row r="95" customFormat="false" ht="15" hidden="false" customHeight="false" outlineLevel="0" collapsed="false">
      <c r="A95" s="13" t="s">
        <v>218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-2096.325315</v>
      </c>
      <c r="J95" s="14" t="n">
        <f aca="false">SUM(J5:J94)</f>
        <v>302.87885355</v>
      </c>
      <c r="K95" s="14" t="n">
        <f aca="false">SUM(K5:K94)</f>
        <v>130.8825315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-472.365</v>
      </c>
      <c r="O95" s="14" t="n">
        <f aca="false">SUM(O5:O94)</f>
        <v>-144.342</v>
      </c>
      <c r="P95" s="14" t="n">
        <f aca="false">SUM(P5:P94)</f>
        <v>0</v>
      </c>
      <c r="Q95" s="14" t="n">
        <f aca="false">SUM(Q5:Q94)</f>
        <v>-172.47</v>
      </c>
      <c r="R95" s="14" t="n">
        <f aca="false">SUM(R5:R94)</f>
        <v>1168.0802628</v>
      </c>
    </row>
    <row r="99" customFormat="false" ht="15" hidden="false" customHeight="false" outlineLevel="0" collapsed="false">
      <c r="A99" s="13" t="s">
        <v>219</v>
      </c>
      <c r="B99" s="14" t="n">
        <f aca="false">MIN(S5:S94)</f>
        <v>-799.71988772</v>
      </c>
    </row>
    <row r="100" customFormat="false" ht="15" hidden="false" customHeight="false" outlineLevel="0" collapsed="false">
      <c r="A100" s="13" t="s">
        <v>220</v>
      </c>
      <c r="B100" s="32" t="n">
        <f aca="false">INDEX(A5:A94,MATCH(B99,S5:S94,0))</f>
        <v>12</v>
      </c>
    </row>
    <row r="101" customFormat="false" ht="15" hidden="false" customHeight="false" outlineLevel="0" collapsed="false">
      <c r="A101" s="13" t="s">
        <v>221</v>
      </c>
      <c r="B101" s="32" t="n">
        <f aca="false">IFERROR(INDEX(A5:A94,MATCH(1,T5:T94,0)),"não volta em 90 dias")</f>
        <v>21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-1568.07238772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222</v>
      </c>
    </row>
    <row r="3" customFormat="false" ht="15" hidden="false" customHeight="false" outlineLevel="0" collapsed="false">
      <c r="A3" s="3" t="s">
        <v>223</v>
      </c>
      <c r="B3" s="3" t="s">
        <v>224</v>
      </c>
      <c r="C3" s="3" t="s">
        <v>225</v>
      </c>
      <c r="D3" s="3" t="s">
        <v>226</v>
      </c>
      <c r="E3" s="3" t="s">
        <v>227</v>
      </c>
    </row>
    <row r="4" customFormat="false" ht="35.05" hidden="false" customHeight="false" outlineLevel="0" collapsed="false">
      <c r="A4" s="33" t="n">
        <v>1</v>
      </c>
      <c r="B4" s="33" t="s">
        <v>228</v>
      </c>
      <c r="C4" s="33" t="s">
        <v>229</v>
      </c>
      <c r="D4" s="33" t="s">
        <v>230</v>
      </c>
      <c r="E4" s="34"/>
    </row>
    <row r="5" customFormat="false" ht="23.85" hidden="false" customHeight="false" outlineLevel="0" collapsed="false">
      <c r="A5" s="33" t="n">
        <v>2</v>
      </c>
      <c r="B5" s="33" t="s">
        <v>231</v>
      </c>
      <c r="C5" s="33" t="s">
        <v>232</v>
      </c>
      <c r="D5" s="33" t="s">
        <v>233</v>
      </c>
      <c r="E5" s="34"/>
    </row>
    <row r="6" customFormat="false" ht="23.85" hidden="false" customHeight="false" outlineLevel="0" collapsed="false">
      <c r="A6" s="33" t="n">
        <v>3</v>
      </c>
      <c r="B6" s="33" t="s">
        <v>234</v>
      </c>
      <c r="C6" s="33" t="s">
        <v>235</v>
      </c>
      <c r="D6" s="33" t="s">
        <v>236</v>
      </c>
      <c r="E6" s="34"/>
    </row>
    <row r="7" customFormat="false" ht="23.85" hidden="false" customHeight="false" outlineLevel="0" collapsed="false">
      <c r="A7" s="33" t="n">
        <v>4</v>
      </c>
      <c r="B7" s="33" t="s">
        <v>237</v>
      </c>
      <c r="C7" s="33" t="s">
        <v>238</v>
      </c>
      <c r="D7" s="33" t="s">
        <v>239</v>
      </c>
      <c r="E7" s="34"/>
    </row>
    <row r="8" customFormat="false" ht="23.85" hidden="false" customHeight="false" outlineLevel="0" collapsed="false">
      <c r="A8" s="33" t="n">
        <v>5</v>
      </c>
      <c r="B8" s="33" t="s">
        <v>240</v>
      </c>
      <c r="C8" s="33" t="s">
        <v>241</v>
      </c>
      <c r="D8" s="33" t="s">
        <v>242</v>
      </c>
      <c r="E8" s="34"/>
    </row>
    <row r="9" customFormat="false" ht="23.85" hidden="false" customHeight="false" outlineLevel="0" collapsed="false">
      <c r="A9" s="33" t="n">
        <v>6</v>
      </c>
      <c r="B9" s="33" t="s">
        <v>243</v>
      </c>
      <c r="C9" s="33" t="s">
        <v>244</v>
      </c>
      <c r="D9" s="33" t="s">
        <v>245</v>
      </c>
      <c r="E9" s="34"/>
    </row>
    <row r="10" customFormat="false" ht="23.85" hidden="false" customHeight="false" outlineLevel="0" collapsed="false">
      <c r="A10" s="33" t="n">
        <v>7</v>
      </c>
      <c r="B10" s="33" t="s">
        <v>246</v>
      </c>
      <c r="C10" s="33" t="s">
        <v>247</v>
      </c>
      <c r="D10" s="33" t="s">
        <v>248</v>
      </c>
      <c r="E10" s="34"/>
    </row>
    <row r="11" customFormat="false" ht="15" hidden="false" customHeight="false" outlineLevel="0" collapsed="false">
      <c r="A11" s="33" t="n">
        <v>8</v>
      </c>
      <c r="B11" s="33" t="s">
        <v>249</v>
      </c>
      <c r="C11" s="33" t="s">
        <v>250</v>
      </c>
      <c r="D11" s="33" t="s">
        <v>251</v>
      </c>
      <c r="E11" s="34"/>
    </row>
    <row r="12" customFormat="false" ht="15" hidden="false" customHeight="false" outlineLevel="0" collapsed="false">
      <c r="A12" s="33" t="n">
        <v>9</v>
      </c>
      <c r="B12" s="33" t="s">
        <v>252</v>
      </c>
      <c r="C12" s="33" t="s">
        <v>253</v>
      </c>
      <c r="D12" s="33" t="s">
        <v>254</v>
      </c>
      <c r="E12" s="34"/>
    </row>
    <row r="13" customFormat="false" ht="15" hidden="false" customHeight="false" outlineLevel="0" collapsed="false">
      <c r="A13" s="33" t="n">
        <v>10</v>
      </c>
      <c r="B13" s="33" t="s">
        <v>255</v>
      </c>
      <c r="C13" s="33" t="s">
        <v>256</v>
      </c>
      <c r="D13" s="33" t="s">
        <v>257</v>
      </c>
      <c r="E13" s="34"/>
    </row>
    <row r="14" customFormat="false" ht="23.85" hidden="false" customHeight="false" outlineLevel="0" collapsed="false">
      <c r="A14" s="33" t="n">
        <v>11</v>
      </c>
      <c r="B14" s="33" t="s">
        <v>258</v>
      </c>
      <c r="C14" s="33" t="s">
        <v>259</v>
      </c>
      <c r="D14" s="33" t="s">
        <v>260</v>
      </c>
      <c r="E14" s="34"/>
    </row>
    <row r="15" customFormat="false" ht="15" hidden="false" customHeight="false" outlineLevel="0" collapsed="false">
      <c r="A15" s="33" t="n">
        <v>12</v>
      </c>
      <c r="B15" s="33" t="s">
        <v>261</v>
      </c>
      <c r="C15" s="33" t="s">
        <v>262</v>
      </c>
      <c r="D15" s="33" t="s">
        <v>263</v>
      </c>
      <c r="E15" s="34"/>
    </row>
    <row r="16" customFormat="false" ht="15" hidden="false" customHeight="false" outlineLevel="0" collapsed="false">
      <c r="A16" s="33" t="n">
        <v>13</v>
      </c>
      <c r="B16" s="33" t="s">
        <v>264</v>
      </c>
      <c r="C16" s="33" t="s">
        <v>265</v>
      </c>
      <c r="D16" s="33" t="s">
        <v>266</v>
      </c>
      <c r="E16" s="34"/>
    </row>
    <row r="17" customFormat="false" ht="23.85" hidden="false" customHeight="false" outlineLevel="0" collapsed="false">
      <c r="A17" s="33" t="n">
        <v>14</v>
      </c>
      <c r="B17" s="33" t="s">
        <v>267</v>
      </c>
      <c r="C17" s="33" t="s">
        <v>268</v>
      </c>
      <c r="D17" s="33" t="s">
        <v>269</v>
      </c>
      <c r="E17" s="34"/>
    </row>
    <row r="18" customFormat="false" ht="23.85" hidden="false" customHeight="false" outlineLevel="0" collapsed="false">
      <c r="A18" s="33" t="n">
        <v>15</v>
      </c>
      <c r="B18" s="33" t="s">
        <v>270</v>
      </c>
      <c r="C18" s="33" t="s">
        <v>271</v>
      </c>
      <c r="D18" s="33" t="s">
        <v>272</v>
      </c>
      <c r="E18" s="34"/>
    </row>
    <row r="19" customFormat="false" ht="23.85" hidden="false" customHeight="false" outlineLevel="0" collapsed="false">
      <c r="A19" s="33" t="n">
        <v>16</v>
      </c>
      <c r="B19" s="33" t="s">
        <v>273</v>
      </c>
      <c r="C19" s="33" t="s">
        <v>274</v>
      </c>
      <c r="D19" s="33" t="s">
        <v>275</v>
      </c>
      <c r="E19" s="34"/>
    </row>
    <row r="20" customFormat="false" ht="23.85" hidden="false" customHeight="false" outlineLevel="0" collapsed="false">
      <c r="A20" s="33" t="n">
        <v>17</v>
      </c>
      <c r="B20" s="33" t="s">
        <v>276</v>
      </c>
      <c r="C20" s="33" t="s">
        <v>277</v>
      </c>
      <c r="D20" s="33" t="s">
        <v>278</v>
      </c>
      <c r="E20" s="34"/>
    </row>
    <row r="21" customFormat="false" ht="23.85" hidden="false" customHeight="false" outlineLevel="0" collapsed="false">
      <c r="A21" s="33" t="n">
        <v>18</v>
      </c>
      <c r="B21" s="33" t="s">
        <v>279</v>
      </c>
      <c r="C21" s="33" t="s">
        <v>280</v>
      </c>
      <c r="D21" s="33" t="s">
        <v>281</v>
      </c>
      <c r="E21" s="34"/>
    </row>
    <row r="22" customFormat="false" ht="23.85" hidden="false" customHeight="false" outlineLevel="0" collapsed="false">
      <c r="A22" s="33" t="n">
        <v>19</v>
      </c>
      <c r="B22" s="33" t="s">
        <v>282</v>
      </c>
      <c r="C22" s="33" t="s">
        <v>283</v>
      </c>
      <c r="D22" s="33" t="s">
        <v>284</v>
      </c>
      <c r="E22" s="34"/>
    </row>
    <row r="23" customFormat="false" ht="23.85" hidden="false" customHeight="false" outlineLevel="0" collapsed="false">
      <c r="A23" s="33" t="n">
        <v>20</v>
      </c>
      <c r="B23" s="33" t="s">
        <v>285</v>
      </c>
      <c r="C23" s="33" t="s">
        <v>286</v>
      </c>
      <c r="D23" s="33" t="s">
        <v>287</v>
      </c>
      <c r="E23" s="34"/>
    </row>
    <row r="24" customFormat="false" ht="15" hidden="false" customHeight="false" outlineLevel="0" collapsed="false">
      <c r="A24" s="33" t="n">
        <v>21</v>
      </c>
      <c r="B24" s="33" t="s">
        <v>288</v>
      </c>
      <c r="C24" s="33" t="s">
        <v>289</v>
      </c>
      <c r="D24" s="33" t="s">
        <v>290</v>
      </c>
      <c r="E24" s="34"/>
    </row>
    <row r="25" customFormat="false" ht="15" hidden="false" customHeight="false" outlineLevel="0" collapsed="false">
      <c r="A25" s="33" t="n">
        <v>22</v>
      </c>
      <c r="B25" s="33" t="s">
        <v>291</v>
      </c>
      <c r="C25" s="33" t="s">
        <v>292</v>
      </c>
      <c r="D25" s="33" t="s">
        <v>293</v>
      </c>
      <c r="E25" s="34"/>
    </row>
    <row r="26" customFormat="false" ht="15" hidden="false" customHeight="false" outlineLevel="0" collapsed="false">
      <c r="A26" s="33" t="n">
        <v>23</v>
      </c>
      <c r="B26" s="33" t="s">
        <v>294</v>
      </c>
      <c r="C26" s="33" t="s">
        <v>295</v>
      </c>
      <c r="D26" s="33" t="s">
        <v>296</v>
      </c>
      <c r="E26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297</v>
      </c>
    </row>
    <row r="3" customFormat="false" ht="15" hidden="false" customHeight="false" outlineLevel="0" collapsed="false">
      <c r="A3" s="3" t="s">
        <v>58</v>
      </c>
      <c r="B3" s="3" t="s">
        <v>298</v>
      </c>
      <c r="C3" s="3" t="s">
        <v>299</v>
      </c>
      <c r="D3" s="3" t="s">
        <v>300</v>
      </c>
      <c r="E3" s="3" t="s">
        <v>301</v>
      </c>
    </row>
    <row r="4" customFormat="false" ht="23.85" hidden="false" customHeight="false" outlineLevel="0" collapsed="false">
      <c r="A4" s="33" t="s">
        <v>302</v>
      </c>
      <c r="B4" s="33" t="s">
        <v>303</v>
      </c>
      <c r="C4" s="33" t="s">
        <v>304</v>
      </c>
      <c r="D4" s="33" t="s">
        <v>305</v>
      </c>
      <c r="E4" s="33" t="s">
        <v>306</v>
      </c>
    </row>
    <row r="5" customFormat="false" ht="15" hidden="false" customHeight="false" outlineLevel="0" collapsed="false">
      <c r="A5" s="33" t="s">
        <v>173</v>
      </c>
      <c r="B5" s="33" t="s">
        <v>307</v>
      </c>
      <c r="C5" s="33" t="s">
        <v>308</v>
      </c>
      <c r="D5" s="33" t="s">
        <v>309</v>
      </c>
      <c r="E5" s="33" t="s">
        <v>310</v>
      </c>
    </row>
    <row r="6" customFormat="false" ht="15" hidden="false" customHeight="false" outlineLevel="0" collapsed="false">
      <c r="A6" s="33" t="s">
        <v>108</v>
      </c>
      <c r="B6" s="33" t="s">
        <v>242</v>
      </c>
      <c r="C6" s="33" t="s">
        <v>311</v>
      </c>
      <c r="D6" s="33" t="s">
        <v>312</v>
      </c>
      <c r="E6" s="33" t="s">
        <v>313</v>
      </c>
    </row>
    <row r="7" customFormat="false" ht="15" hidden="false" customHeight="false" outlineLevel="0" collapsed="false">
      <c r="A7" s="33" t="s">
        <v>314</v>
      </c>
      <c r="B7" s="33" t="s">
        <v>236</v>
      </c>
      <c r="C7" s="33" t="s">
        <v>315</v>
      </c>
      <c r="D7" s="33" t="s">
        <v>316</v>
      </c>
      <c r="E7" s="33" t="s">
        <v>313</v>
      </c>
    </row>
    <row r="8" customFormat="false" ht="23.85" hidden="false" customHeight="false" outlineLevel="0" collapsed="false">
      <c r="A8" s="33" t="s">
        <v>317</v>
      </c>
      <c r="B8" s="33" t="s">
        <v>318</v>
      </c>
      <c r="C8" s="33" t="s">
        <v>319</v>
      </c>
      <c r="D8" s="33" t="s">
        <v>320</v>
      </c>
      <c r="E8" s="33" t="s">
        <v>310</v>
      </c>
    </row>
    <row r="9" customFormat="false" ht="15" hidden="false" customHeight="false" outlineLevel="0" collapsed="false">
      <c r="A9" s="33" t="s">
        <v>321</v>
      </c>
      <c r="B9" s="33" t="s">
        <v>322</v>
      </c>
      <c r="C9" s="33" t="s">
        <v>323</v>
      </c>
      <c r="D9" s="33" t="s">
        <v>324</v>
      </c>
      <c r="E9" s="33" t="s">
        <v>310</v>
      </c>
    </row>
    <row r="10" customFormat="false" ht="23.85" hidden="false" customHeight="false" outlineLevel="0" collapsed="false">
      <c r="A10" s="33" t="s">
        <v>325</v>
      </c>
      <c r="B10" s="33" t="s">
        <v>326</v>
      </c>
      <c r="C10" s="33" t="s">
        <v>327</v>
      </c>
      <c r="D10" s="33" t="s">
        <v>328</v>
      </c>
      <c r="E10" s="33" t="s">
        <v>329</v>
      </c>
    </row>
    <row r="11" customFormat="false" ht="23.85" hidden="false" customHeight="false" outlineLevel="0" collapsed="false">
      <c r="A11" s="33" t="s">
        <v>330</v>
      </c>
      <c r="B11" s="33" t="s">
        <v>331</v>
      </c>
      <c r="C11" s="33" t="s">
        <v>332</v>
      </c>
      <c r="D11" s="33" t="s">
        <v>333</v>
      </c>
      <c r="E11" s="33" t="s">
        <v>334</v>
      </c>
    </row>
    <row r="12" customFormat="false" ht="15" hidden="false" customHeight="false" outlineLevel="0" collapsed="false">
      <c r="A12" s="33" t="s">
        <v>335</v>
      </c>
      <c r="B12" s="33" t="s">
        <v>336</v>
      </c>
      <c r="C12" s="33" t="s">
        <v>337</v>
      </c>
      <c r="D12" s="33" t="s">
        <v>338</v>
      </c>
      <c r="E12" s="33" t="s">
        <v>339</v>
      </c>
    </row>
    <row r="13" customFormat="false" ht="23.85" hidden="false" customHeight="false" outlineLevel="0" collapsed="false">
      <c r="A13" s="33" t="s">
        <v>340</v>
      </c>
      <c r="B13" s="33" t="s">
        <v>341</v>
      </c>
      <c r="C13" s="33" t="s">
        <v>342</v>
      </c>
      <c r="D13" s="33" t="s">
        <v>343</v>
      </c>
      <c r="E13" s="33" t="s">
        <v>344</v>
      </c>
    </row>
    <row r="14" customFormat="false" ht="23.85" hidden="false" customHeight="false" outlineLevel="0" collapsed="false">
      <c r="A14" s="33" t="s">
        <v>345</v>
      </c>
      <c r="B14" s="33" t="s">
        <v>346</v>
      </c>
      <c r="C14" s="33" t="s">
        <v>347</v>
      </c>
      <c r="D14" s="33" t="s">
        <v>348</v>
      </c>
      <c r="E14" s="33" t="s">
        <v>339</v>
      </c>
    </row>
    <row r="15" customFormat="false" ht="23.85" hidden="false" customHeight="false" outlineLevel="0" collapsed="false">
      <c r="A15" s="33" t="s">
        <v>349</v>
      </c>
      <c r="B15" s="33" t="s">
        <v>322</v>
      </c>
      <c r="C15" s="33" t="s">
        <v>350</v>
      </c>
      <c r="D15" s="33" t="s">
        <v>324</v>
      </c>
      <c r="E15" s="33" t="s">
        <v>351</v>
      </c>
    </row>
    <row r="16" customFormat="false" ht="35.05" hidden="false" customHeight="false" outlineLevel="0" collapsed="false">
      <c r="A16" s="33" t="s">
        <v>352</v>
      </c>
      <c r="B16" s="33" t="s">
        <v>353</v>
      </c>
      <c r="C16" s="33" t="s">
        <v>354</v>
      </c>
      <c r="D16" s="33" t="s">
        <v>355</v>
      </c>
      <c r="E16" s="33" t="s">
        <v>356</v>
      </c>
    </row>
    <row r="17" customFormat="false" ht="15" hidden="false" customHeight="false" outlineLevel="0" collapsed="false">
      <c r="A17" s="33" t="s">
        <v>357</v>
      </c>
      <c r="B17" s="33" t="s">
        <v>322</v>
      </c>
      <c r="C17" s="33" t="s">
        <v>358</v>
      </c>
      <c r="D17" s="33" t="s">
        <v>359</v>
      </c>
      <c r="E17" s="33" t="s">
        <v>310</v>
      </c>
    </row>
    <row r="18" customFormat="false" ht="23.85" hidden="false" customHeight="false" outlineLevel="0" collapsed="false">
      <c r="A18" s="33" t="s">
        <v>360</v>
      </c>
      <c r="B18" s="33" t="s">
        <v>322</v>
      </c>
      <c r="C18" s="33" t="s">
        <v>361</v>
      </c>
      <c r="D18" s="33" t="s">
        <v>362</v>
      </c>
      <c r="E18" s="33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2026-10-09T14:11:11Z</dcterms:created>
  <dc:creator>openpyxl</dc:creator>
  <dc:description/>
  <dc:language>en-US</dc:language>
  <cp:lastModifiedBy/>
  <dcterms:modified xsi:type="dcterms:W3CDTF">2026-10-09T14:11:11Z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