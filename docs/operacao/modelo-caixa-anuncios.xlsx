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<sst xmlns="http://schemas.openxmlformats.org/spreadsheetml/2006/main" count="259" uniqueCount="227">
  <si>
    <t xml:space="preserve">Resumo — quanto de caixa preciso para a verba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</si>
  <si>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</si>
  <si>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</si>
  <si>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</si>
  <si>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</si>
  <si>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</t>
  </si>
  <si>
    <t xml:space="preserve">diária × dias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</si>
  <si>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</si>
  <si>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</si>
  <si>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</si>
  <si>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</si>
  <si>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</si>
  <si>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</t>
  </si>
  <si>
    <t xml:space="preserve">o mínimo de capital próprio/crédito para não travar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</si>
  <si>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</si>
  <si>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</si>
  <si>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</si>
  <si>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</si>
  <si>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Caixa acumulado no dia 90</t>
  </si>
  <si>
    <t xml:space="preserve">lucro de caixa já realizado (a receber fora dele)</t>
  </si>
  <si>
    <t xml:space="preserve">Lucro esperado por venda (mix)</t>
  </si>
  <si>
    <t xml:space="preserve">regime, depois de recusa/devolução/lead/IA</t>
  </si>
  <si>
    <t xml:space="preserve">Pico ÷ verba diária</t>
  </si>
  <si>
    <t xml:space="preserve">quantos dias de verba o caixa precisa cobrir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</si>
  <si>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</si>
  <si>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</si>
  <si>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</si>
  <si>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</si>
  <si>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</si>
  <si>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pago antes de qualquer venda; igual nos dois</t>
  </si>
  <si>
    <t xml:space="preserve">Produto adiantado</t>
  </si>
  <si>
    <t xml:space="preserve">0 se o produto sai da comissão</t>
  </si>
  <si>
    <t xml:space="preserve">Taxas/frete antes da entrada do dinheiro</t>
  </si>
  <si>
    <t xml:space="preserve">COD: taxas esperadas; antec.: manuseio</t>
  </si>
  <si>
    <t xml:space="preserve">Estorno do produto não entregue (volta ao estoque)</t>
  </si>
  <si>
    <t xml:space="preserve">devolvido/recusado</t>
  </si>
  <si>
    <t xml:space="preserve">Total de caixa gasto antes do dinheiro entrar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</si>
  <si>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</si>
  <si>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</si>
  <si>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</si>
  <si>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</si>
  <si>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Verba de anúncio imobilizada até o 1º repasse</t>
  </si>
  <si>
    <t xml:space="preserve">gasto diário × dias de espera</t>
  </si>
  <si>
    <t xml:space="preserve">Sensibilidade — caixa necessário por verba diária (30 dias de anúncio, mesmas premissas)</t>
  </si>
  <si>
    <t xml:space="preserve">Verba diária (R$)</t>
  </si>
  <si>
    <t xml:space="preserve">Verba total no período</t>
  </si>
  <si>
    <t xml:space="preserve">Pico de caixa necessário</t>
  </si>
  <si>
    <t xml:space="preserve">Pico ÷ verba total</t>
  </si>
  <si>
    <t xml:space="preserve">Escala linear: dobrar a verba dobra o pico, desde que prazos, recusa e conversão não mudem (custos fixos não escalam — a coluna é aproximada se você os preencheu).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</si>
  <si>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</si>
  <si>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</si>
  <si>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</si>
  <si>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</si>
  <si>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</si>
  <si>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</t>
  </si>
  <si>
    <t xml:space="preserve">Verba diária de anúncios</t>
  </si>
  <si>
    <t xml:space="preserve">R$/dia</t>
  </si>
  <si>
    <t xml:space="preserve">mapa-financeiro / 06-modelo-economico (R$ 300/dia). Edite.</t>
  </si>
  <si>
    <t xml:space="preserve">Dias consecutivos de anúncio</t>
  </si>
  <si>
    <t xml:space="preserve">dias</t>
  </si>
  <si>
    <t xml:space="preserve">Assumido (máx. 90 — horizonte da aba Fluxo)</t>
  </si>
  <si>
    <t xml:space="preserve">Custo por lead (CPL)</t>
  </si>
  <si>
    <t xml:space="preserve">R$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</si>
  <si>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</si>
  <si>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</si>
  <si>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</si>
  <si>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</si>
  <si>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</si>
  <si>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</si>
  <si>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</si>
  <si>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</si>
  <si>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</si>
  <si>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</si>
  <si>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</si>
  <si>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</si>
  <si>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</si>
  <si>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</si>
  <si>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</si>
  <si>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</si>
  <si>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</si>
  <si>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</si>
  <si>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</si>
  <si>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</si>
  <si>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Operador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</si>
  <si>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</si>
  <si>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</si>
  <si>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</si>
  <si>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</si>
  <si>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</si>
  <si>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</si>
  <si>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</si>
  <si>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</si>
  <si>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</si>
  <si>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</si>
  <si>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</si>
  <si>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</si>
  <si>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</si>
  <si>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Taxa por recusa (entrega frustrada)</t>
  </si>
  <si>
    <t xml:space="preserve">Operador R18.3, 02/10</t>
  </si>
  <si>
    <t xml:space="preserve">Taxa de devolução (manuseio incluso)</t>
  </si>
  <si>
    <t xml:space="preserve">Operador, 29/09</t>
  </si>
  <si>
    <t xml:space="preserve">Impostos sobre faturamento recebido</t>
  </si>
  <si>
    <t xml:space="preserve">NÃO ESTÁ NOS DOCS — informe o regime (Simples/Presumido)</t>
  </si>
  <si>
    <t xml:space="preserve">Custos fixos por dia (ferramentas, pessoas, pró-labore)</t>
  </si>
  <si>
    <t xml:space="preserve">NÃO ESTÁ NOS DOCS — informe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</si>
  <si>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</si>
  <si>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</si>
  <si>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</si>
  <si>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</si>
  <si>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</si>
  <si>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</si>
  <si>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</si>
  <si>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</si>
  <si>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</si>
  <si>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</si>
  <si>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</si>
  <si>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</si>
  <si>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</si>
  <si>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</si>
  <si>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</si>
  <si>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</si>
  <si>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da entrega até o dinheiro estar disponível</t>
  </si>
  <si>
    <t xml:space="preserve">doc 06: 'libera 14 dias depois do pagamento'</t>
  </si>
  <si>
    <t xml:space="preserve">Antecipado: dias do pedido até o dinheiro disponível</t>
  </si>
  <si>
    <t xml:space="preserve">doc 06: 'cai na hora no Mercado Pago' — confirmar</t>
  </si>
  <si>
    <t xml:space="preserve">Antecipado: dias do pedido até a devolução ser cobrada</t>
  </si>
  <si>
    <t xml:space="preserve">Assumido</t>
  </si>
  <si>
    <t xml:space="preserve">Como o caixa sai (chaves 1 = sim / 0 = não)</t>
  </si>
  <si>
    <t xml:space="preserve">Produto sai do SEU caixa no dia do pedido?</t>
  </si>
  <si>
    <t xml:space="preserve">1/0</t>
  </si>
  <si>
    <t xml:space="preserve">Conservador. 0 = descontado da comissão (estoque do fornecedor)</t>
  </si>
  <si>
    <t xml:space="preserve">Taxas COD saem do seu caixa na entrega? (0 = descontadas do repasse)</t>
  </si>
  <si>
    <t xml:space="preserve">Conservador. 0 = abatidas do repasse</t>
  </si>
  <si>
    <t xml:space="preserve">Economia por pedido (confere com a tabela de 02/10 do doc: 24,31 / 49,50 / mix 31,86 com 1 peça)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</si>
  <si>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</si>
  <si>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</si>
  <si>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</si>
  <si>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</si>
  <si>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</si>
  <si>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</si>
  <si>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</si>
  <si>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</si>
  <si>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</si>
  <si>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</si>
  <si>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</si>
  <si>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</si>
  <si>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</si>
  <si>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</si>
  <si>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antecipado: taxa MP não volta</t>
  </si>
  <si>
    <t xml:space="preserve">Margem esperada (antes de lead/IA/WhatsApp)</t>
  </si>
  <si>
    <t xml:space="preserve">Lead (CPL ÷ conversão)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</si>
  <si>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</si>
  <si>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</si>
  <si>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</si>
  <si>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</si>
  <si>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</si>
  <si>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</si>
  <si>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</si>
  <si>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</si>
  <si>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</si>
  <si>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taxas esperadas por pedido criado (entregue + recusa + devolução)</t>
  </si>
  <si>
    <t xml:space="preserve">Antecipado: taxa Mercado Pago por pedido</t>
  </si>
  <si>
    <t xml:space="preserve">Leads por dia</t>
  </si>
  <si>
    <t xml:space="preserve">Pedidos criados por dia</t>
  </si>
  <si>
    <t xml:space="preserve">Fluxo de caixa diário (R$) — entradas positivas, saídas negativas</t>
  </si>
  <si>
    <t xml:space="preserve">Cada dia de verba gera pedidos; cada pedido gera saídas e entradas deslocadas pelos prazos da aba Premissas.</t>
  </si>
  <si>
    <t xml:space="preserve">Dia</t>
  </si>
  <si>
    <t xml:space="preserve">IA + WhatsApp</t>
  </si>
  <si>
    <t xml:space="preserve">Pedidos COD criados</t>
  </si>
  <si>
    <t xml:space="preserve">Pedidos antec. criados</t>
  </si>
  <si>
    <t xml:space="preserve">COD: produto no pedido</t>
  </si>
  <si>
    <t xml:space="preserve">COD: dia da entrega (taxas, estorno produto)</t>
  </si>
  <si>
    <t xml:space="preserve">COD: repasse (entrada líquida)</t>
  </si>
  <si>
    <t xml:space="preserve">Antec.: entrada MP</t>
  </si>
  <si>
    <t xml:space="preserve">Antec.: custos no pedido</t>
  </si>
  <si>
    <t xml:space="preserve">Antec.: devoluções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</si>
  <si>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</si>
  <si>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</si>
  <si>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</si>
  <si>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</si>
  <si>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</si>
  <si>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</si>
  <si>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</si>
  <si>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</si>
  <si>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</si>
  <si>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faltam para o modelo fechar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</si>
  <si>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</si>
  <si>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</si>
  <si>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</si>
  <si>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</si>
  <si>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</si>
  <si>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Quem paga os R$ 30 por peça e quando? Estoque seu já pago, ou o valor é descontado da comissão/repasse?</t>
  </si>
  <si>
    <t xml:space="preserve">Muda o pico de caixa pela metade (doc: R$ 1.970–2.584 vs R$ 838–1.039)</t>
  </si>
  <si>
    <t xml:space="preserve">Sai do seu caixa no dia do pedido (Premissas: chave produto = 1)</t>
  </si>
  <si>
    <t xml:space="preserve">As taxas do COD (transação, entrega concluída, manuseio) são abatidas do repasse ou cobradas do seu saldo?</t>
  </si>
  <si>
    <t xml:space="preserve">Define se existe adiantamento de taxas</t>
  </si>
  <si>
    <t xml:space="preserve">Saem do seu caixa no dia da entrega (chave taxas = 1)</t>
  </si>
  <si>
    <t xml:space="preserve">COD: os 14 dias contam da entrega/pagamento na porta? Vale para Pix, cartão e dinheiro na porta?</t>
  </si>
  <si>
    <t xml:space="preserve">É o prazo que mais pesa no pico de caixa</t>
  </si>
  <si>
    <t xml:space="preserve">D+2 até a entrega + 14 dias = D+16</t>
  </si>
  <si>
    <t xml:space="preserve">Antecipado: o Mercado Pago libera na hora na sua conta ou fica retido (D+14/D+30 no cartão)? Há retenção da Coinzz?</t>
  </si>
  <si>
    <t xml:space="preserve">Se retido, o antecipado também precisa de capital</t>
  </si>
  <si>
    <t xml:space="preserve">Libera no mesmo dia (0 dias)</t>
  </si>
  <si>
    <t xml:space="preserve">Como você paga o anúncio: cartão de crédito (fatura vence em quantos dias, limite?), saldo pré-pago ou Pix?</t>
  </si>
  <si>
    <t xml:space="preserve">Fatura com 30 dias financia parte do pico sem capital próprio</t>
  </si>
  <si>
    <t xml:space="preserve">Sai do caixa no mesmo dia do gasto</t>
  </si>
  <si>
    <t xml:space="preserve">Quanto por dia e por quantos dias pretende gastar, e qual a escada de escala (ex.: R$ 100 → 300 → 1.000)?</t>
  </si>
  <si>
    <t xml:space="preserve">Pico cresce linear com a verba; escalar rápido antecipa o gasto sobre o repasse</t>
  </si>
  <si>
    <t xml:space="preserve">R$ 300/dia por 30 dias</t>
  </si>
  <si>
    <t xml:space="preserve">Mix de kits esperado (1, 2 e 3 peças) e mix real COD x antecipado depois do teste?</t>
  </si>
  <si>
    <t xml:space="preserve">Kit maior eleva o produto adiantado e a margem</t>
  </si>
  <si>
    <t xml:space="preserve">100% 1 peça; 70/30</t>
  </si>
  <si>
    <t xml:space="preserve">Devolução: quando o custo de R$ 25 é cobrado e o produto volta ao estoque? Recusa: produto volta sem custo?</t>
  </si>
  <si>
    <t xml:space="preserve">Define o estorno do produto e o prazo da perda</t>
  </si>
  <si>
    <t xml:space="preserve">Devolução em D+7 e produto volta ao estoque</t>
  </si>
  <si>
    <t xml:space="preserve">Impostos: qual regime (Simples, Presumido) e alíquota sobre faturamento? Quando paga?</t>
  </si>
  <si>
    <t xml:space="preserve">Não aparece em nenhum doc e come margem</t>
  </si>
  <si>
    <t xml:space="preserve">0% (amarelo — preencha)</t>
  </si>
  <si>
    <t xml:space="preserve">Custos fixos mensais: ferramentas (n8n/PikaPods, Supabase), contador, pessoas, pró-labore?</t>
  </si>
  <si>
    <t xml:space="preserve">Entram no caixa antes de qualquer lucro</t>
  </si>
  <si>
    <t xml:space="preserve">R$ 0/dia (amarelo — preencha)</t>
  </si>
  <si>
    <t xml:space="preserve">Quanto de capital próprio você tem hoje disponível, e aceita crédito/antecipação de recebíveis?</t>
  </si>
  <si>
    <t xml:space="preserve">Com isso calculo a verba máxima que o caixa sustenta</t>
  </si>
  <si>
    <t xml:space="preserve">—</t>
  </si>
  <si>
    <t xml:space="preserve">Quer margem de segurança no caixa (ex.: 20% sobre o pico) para chargeback, atraso de repasse e CPL pior?</t>
  </si>
  <si>
    <t xml:space="preserve">Evita travar a campanha no meio do pico</t>
  </si>
  <si>
    <t xml:space="preserve">Nenhuma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</si>
</sst>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&quot;R$ &quot;#,##0;&quot;(R$ &quot;#,##0\);\-"/>
    <numFmt numFmtId="171" formatCode="0.0%;\(0.0%\);\-"/>
    <numFmt numFmtId="172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Premissas!$B$6*Premissas!$B$7</f>
        <v>9000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diário'!D95+'Fluxo diário'!E95</f>
        <v>600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diário'!D95,"0.0")&amp;" / "&amp;TEXT('Fluxo diário'!E95,"0.0")</f>
        <v>420.0 / 180.0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diário'!D95*Premissas!$B$39+'Fluxo diário'!E95*Premissas!$B$40</f>
        <v>75601.8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9936.7495268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16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32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'Fluxo diário'!O94</f>
        <v>19118.703504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Unitário!B18</f>
        <v>31.86450584</v>
      </c>
      <c r="C13" s="2" t="s">
        <v>21</v>
      </c>
    </row>
    <row r="14" customFormat="false" ht="15" hidden="false" customHeight="false" outlineLevel="0" collapsed="false">
      <c r="A14" s="2" t="s">
        <v>22</v>
      </c>
      <c r="B14" s="10" t="n">
        <f aca="false">IFERROR(B9/Premissas!$B$6,0)</f>
        <v>33.1224984226667</v>
      </c>
      <c r="C14" s="2" t="s">
        <v>23</v>
      </c>
    </row>
    <row r="16" customFormat="false" ht="15" hidden="false" customHeight="false" outlineLevel="0" collapsed="false">
      <c r="A16" s="11" t="s">
        <v>24</v>
      </c>
    </row>
    <row r="17" customFormat="false" ht="15" hidden="false" customHeight="false" outlineLevel="0" collapsed="false">
      <c r="A17" s="3" t="s">
        <v>25</v>
      </c>
      <c r="B17" s="3" t="s">
        <v>26</v>
      </c>
      <c r="C17" s="3" t="s">
        <v>27</v>
      </c>
      <c r="D17" s="3" t="s">
        <v>4</v>
      </c>
    </row>
    <row r="18" customFormat="false" ht="15" hidden="false" customHeight="false" outlineLevel="0" collapsed="false">
      <c r="A18" s="2" t="s">
        <v>28</v>
      </c>
      <c r="B18" s="12" t="n">
        <f aca="false">(Premissas!$B$8+Premissas!$B$10)/Premissas!$B$9+Premissas!$B$11</f>
        <v>17.74</v>
      </c>
      <c r="C18" s="12" t="n">
        <f aca="false">(Premissas!$B$8+Premissas!$B$10)/Premissas!$B$9+Premissas!$B$11</f>
        <v>17.74</v>
      </c>
      <c r="D18" s="2" t="s">
        <v>29</v>
      </c>
    </row>
    <row r="19" customFormat="false" ht="15" hidden="false" customHeight="false" outlineLevel="0" collapsed="false">
      <c r="A19" s="2" t="s">
        <v>30</v>
      </c>
      <c r="B19" s="12" t="n">
        <f aca="false">Premissas!$B$47*Unitário!$B$22</f>
        <v>30</v>
      </c>
      <c r="C19" s="12" t="n">
        <f aca="false">Premissas!$B$47*Unitário!$B$22</f>
        <v>30</v>
      </c>
      <c r="D19" s="2" t="s">
        <v>31</v>
      </c>
    </row>
    <row r="20" customFormat="false" ht="15" hidden="false" customHeight="false" outlineLevel="0" collapsed="false">
      <c r="A20" s="2" t="s">
        <v>32</v>
      </c>
      <c r="B20" s="12" t="n">
        <f aca="false">Premissas!$B$48*Unitário!$B$24</f>
        <v>30.8798073</v>
      </c>
      <c r="C20" s="12" t="n">
        <f aca="false">(1-Premissas!$B$17)*Premissas!$B$21</f>
        <v>4.491</v>
      </c>
      <c r="D20" s="2" t="s">
        <v>33</v>
      </c>
    </row>
    <row r="21" customFormat="false" ht="15" hidden="false" customHeight="false" outlineLevel="0" collapsed="false">
      <c r="A21" s="2" t="s">
        <v>34</v>
      </c>
      <c r="B21" s="12" t="n">
        <f aca="false">-Premissas!$B$47*Unitário!$B$22*(Premissas!$B$16+Premissas!$B$17)</f>
        <v>-8.1</v>
      </c>
      <c r="C21" s="12" t="n">
        <f aca="false">-Premissas!$B$47*Unitário!$B$22*Premissas!$B$17</f>
        <v>-3</v>
      </c>
      <c r="D21" s="2" t="s">
        <v>35</v>
      </c>
    </row>
    <row r="22" customFormat="false" ht="15" hidden="false" customHeight="false" outlineLevel="0" collapsed="false">
      <c r="A22" s="13" t="s">
        <v>36</v>
      </c>
      <c r="B22" s="14" t="n">
        <f aca="false">SUM(B18:B21)</f>
        <v>70.5198073</v>
      </c>
      <c r="C22" s="14" t="n">
        <f aca="false">SUM(C18:C21)</f>
        <v>49.231</v>
      </c>
      <c r="D22" s="2"/>
    </row>
    <row r="23" customFormat="false" ht="15" hidden="false" customHeight="false" outlineLevel="0" collapsed="false">
      <c r="A23" s="2" t="s">
        <v>37</v>
      </c>
      <c r="B23" s="15" t="n">
        <f aca="false">Premissas!$B$42+Premissas!$B$43</f>
        <v>16</v>
      </c>
      <c r="C23" s="15" t="n">
        <f aca="false">Premissas!$B$44</f>
        <v>0</v>
      </c>
      <c r="D23" s="2" t="s">
        <v>38</v>
      </c>
    </row>
    <row r="24" customFormat="false" ht="15" hidden="false" customHeight="false" outlineLevel="0" collapsed="false">
      <c r="A24" s="2" t="s">
        <v>39</v>
      </c>
      <c r="B24" s="12" t="n">
        <f aca="false">Unitário!$B$21*Premissas!$B$39</f>
        <v>94.827</v>
      </c>
      <c r="C24" s="12" t="n">
        <f aca="false">(1-Premissas!$B$17)*Premissas!$B$40</f>
        <v>105.219</v>
      </c>
      <c r="D24" s="2" t="s">
        <v>40</v>
      </c>
    </row>
    <row r="25" customFormat="false" ht="15" hidden="false" customHeight="false" outlineLevel="0" collapsed="false">
      <c r="A25" s="2" t="s">
        <v>41</v>
      </c>
      <c r="B25" s="12" t="n">
        <f aca="false">Premissas!$B$6*(Premissas!$B$42+Premissas!$B$43)</f>
        <v>4800</v>
      </c>
      <c r="C25" s="12" t="n">
        <f aca="false">Premissas!$B$6*Premissas!$B$44</f>
        <v>0</v>
      </c>
      <c r="D25" s="2" t="s">
        <v>42</v>
      </c>
    </row>
    <row r="28" customFormat="false" ht="15" hidden="false" customHeight="false" outlineLevel="0" collapsed="false">
      <c r="A28" s="11" t="s">
        <v>43</v>
      </c>
    </row>
    <row r="29" customFormat="false" ht="15" hidden="false" customHeight="false" outlineLevel="0" collapsed="false">
      <c r="A29" s="3" t="s">
        <v>44</v>
      </c>
      <c r="B29" s="3" t="s">
        <v>45</v>
      </c>
      <c r="C29" s="3" t="s">
        <v>46</v>
      </c>
      <c r="D29" s="3" t="s">
        <v>47</v>
      </c>
    </row>
    <row r="30" customFormat="false" ht="15" hidden="false" customHeight="false" outlineLevel="0" collapsed="false">
      <c r="A30" s="16" t="n">
        <v>100</v>
      </c>
      <c r="B30" s="17" t="n">
        <f aca="false">A30*Premissas!$B$7</f>
        <v>3000</v>
      </c>
      <c r="C30" s="17" t="n">
        <f aca="false">-'Fluxo diário'!$B$99/Premissas!$B$6*A30</f>
        <v>3312.24984226667</v>
      </c>
      <c r="D30" s="18" t="n">
        <f aca="false">IFERROR(C30/B30,0)</f>
        <v>1.10408328075556</v>
      </c>
    </row>
    <row r="31" customFormat="false" ht="15" hidden="false" customHeight="false" outlineLevel="0" collapsed="false">
      <c r="A31" s="16" t="n">
        <v>300</v>
      </c>
      <c r="B31" s="17" t="n">
        <f aca="false">A31*Premissas!$B$7</f>
        <v>9000</v>
      </c>
      <c r="C31" s="17" t="n">
        <f aca="false">-'Fluxo diário'!$B$99/Premissas!$B$6*A31</f>
        <v>9936.7495268</v>
      </c>
      <c r="D31" s="18" t="n">
        <f aca="false">IFERROR(C31/B31,0)</f>
        <v>1.10408328075556</v>
      </c>
    </row>
    <row r="32" customFormat="false" ht="15" hidden="false" customHeight="false" outlineLevel="0" collapsed="false">
      <c r="A32" s="16" t="n">
        <v>500</v>
      </c>
      <c r="B32" s="17" t="n">
        <f aca="false">A32*Premissas!$B$7</f>
        <v>15000</v>
      </c>
      <c r="C32" s="17" t="n">
        <f aca="false">-'Fluxo diário'!$B$99/Premissas!$B$6*A32</f>
        <v>16561.2492113333</v>
      </c>
      <c r="D32" s="18" t="n">
        <f aca="false">IFERROR(C32/B32,0)</f>
        <v>1.10408328075556</v>
      </c>
    </row>
    <row r="33" customFormat="false" ht="15" hidden="false" customHeight="false" outlineLevel="0" collapsed="false">
      <c r="A33" s="16" t="n">
        <v>1000</v>
      </c>
      <c r="B33" s="17" t="n">
        <f aca="false">A33*Premissas!$B$7</f>
        <v>30000</v>
      </c>
      <c r="C33" s="17" t="n">
        <f aca="false">-'Fluxo diário'!$B$99/Premissas!$B$6*A33</f>
        <v>33122.4984226667</v>
      </c>
      <c r="D33" s="18" t="n">
        <f aca="false">IFERROR(C33/B33,0)</f>
        <v>1.10408328075556</v>
      </c>
    </row>
    <row r="34" customFormat="false" ht="15" hidden="false" customHeight="false" outlineLevel="0" collapsed="false">
      <c r="A34" s="16" t="n">
        <v>2000</v>
      </c>
      <c r="B34" s="17" t="n">
        <f aca="false">A34*Premissas!$B$7</f>
        <v>60000</v>
      </c>
      <c r="C34" s="17" t="n">
        <f aca="false">-'Fluxo diário'!$B$99/Premissas!$B$6*A34</f>
        <v>66244.9968453333</v>
      </c>
      <c r="D34" s="18" t="n">
        <f aca="false">IFERROR(C34/B34,0)</f>
        <v>1.10408328075556</v>
      </c>
    </row>
    <row r="35" customFormat="false" ht="15" hidden="false" customHeight="false" outlineLevel="0" collapsed="false">
      <c r="A35" s="16" t="n">
        <v>5000</v>
      </c>
      <c r="B35" s="17" t="n">
        <f aca="false">A35*Premissas!$B$7</f>
        <v>150000</v>
      </c>
      <c r="C35" s="17" t="n">
        <f aca="false">-'Fluxo diário'!$B$99/Premissas!$B$6*A35</f>
        <v>165612.492113333</v>
      </c>
      <c r="D35" s="18" t="n">
        <f aca="false">IFERROR(C35/B35,0)</f>
        <v>1.10408328075556</v>
      </c>
    </row>
    <row r="37" customFormat="false" ht="15" hidden="false" customHeight="false" outlineLevel="0" collapsed="false">
      <c r="A37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5" hidden="false" customHeight="false" outlineLevel="0" collapsed="false">
      <c r="A4" s="3" t="s">
        <v>51</v>
      </c>
      <c r="B4" s="3" t="s">
        <v>3</v>
      </c>
      <c r="C4" s="3" t="s">
        <v>52</v>
      </c>
      <c r="D4" s="3" t="s">
        <v>53</v>
      </c>
    </row>
    <row r="5" customFormat="false" ht="15" hidden="false" customHeight="false" outlineLevel="0" collapsed="false">
      <c r="A5" s="19" t="s">
        <v>54</v>
      </c>
      <c r="B5" s="20"/>
      <c r="C5" s="20"/>
      <c r="D5" s="20"/>
    </row>
    <row r="6" customFormat="false" ht="15" hidden="false" customHeight="false" outlineLevel="0" collapsed="false">
      <c r="A6" s="2" t="s">
        <v>55</v>
      </c>
      <c r="B6" s="21" t="n">
        <v>300</v>
      </c>
      <c r="C6" s="2" t="s">
        <v>56</v>
      </c>
      <c r="D6" s="2" t="s">
        <v>57</v>
      </c>
    </row>
    <row r="7" customFormat="false" ht="15" hidden="false" customHeight="false" outlineLevel="0" collapsed="false">
      <c r="A7" s="2" t="s">
        <v>58</v>
      </c>
      <c r="B7" s="22" t="n">
        <v>30</v>
      </c>
      <c r="C7" s="2" t="s">
        <v>59</v>
      </c>
      <c r="D7" s="2" t="s">
        <v>60</v>
      </c>
    </row>
    <row r="8" customFormat="false" ht="15" hidden="false" customHeight="false" outlineLevel="0" collapsed="false">
      <c r="A8" s="2" t="s">
        <v>61</v>
      </c>
      <c r="B8" s="21" t="n">
        <v>1.5</v>
      </c>
      <c r="C8" s="2" t="s">
        <v>62</v>
      </c>
      <c r="D8" s="2" t="s">
        <v>63</v>
      </c>
    </row>
    <row r="9" customFormat="false" ht="15" hidden="false" customHeight="false" outlineLevel="0" collapsed="false">
      <c r="A9" s="2" t="s">
        <v>64</v>
      </c>
      <c r="B9" s="23" t="n">
        <v>0.1</v>
      </c>
      <c r="C9" s="2" t="s">
        <v>65</v>
      </c>
      <c r="D9" s="2" t="s">
        <v>66</v>
      </c>
    </row>
    <row r="10" customFormat="false" ht="15" hidden="false" customHeight="false" outlineLevel="0" collapsed="false">
      <c r="A10" s="2" t="s">
        <v>67</v>
      </c>
      <c r="B10" s="21" t="n">
        <v>0.27</v>
      </c>
      <c r="C10" s="2" t="s">
        <v>62</v>
      </c>
      <c r="D10" s="2" t="s">
        <v>68</v>
      </c>
    </row>
    <row r="11" customFormat="false" ht="15" hidden="false" customHeight="false" outlineLevel="0" collapsed="false">
      <c r="A11" s="2" t="s">
        <v>69</v>
      </c>
      <c r="B11" s="21" t="n">
        <v>0.04</v>
      </c>
      <c r="C11" s="2" t="s">
        <v>62</v>
      </c>
      <c r="D11" s="2" t="s">
        <v>70</v>
      </c>
    </row>
    <row r="12" customFormat="false" ht="15" hidden="false" customHeight="false" outlineLevel="0" collapsed="false">
      <c r="A12" s="19" t="s">
        <v>71</v>
      </c>
      <c r="B12" s="20"/>
      <c r="C12" s="20"/>
      <c r="D12" s="20"/>
    </row>
    <row r="13" customFormat="false" ht="15" hidden="false" customHeight="false" outlineLevel="0" collapsed="false">
      <c r="A13" s="2" t="s">
        <v>72</v>
      </c>
      <c r="B13" s="23" t="n">
        <v>0.7</v>
      </c>
      <c r="C13" s="2" t="s">
        <v>65</v>
      </c>
      <c r="D13" s="2" t="s">
        <v>73</v>
      </c>
    </row>
    <row r="14" customFormat="false" ht="15" hidden="false" customHeight="false" outlineLevel="0" collapsed="false">
      <c r="A14" s="2" t="s">
        <v>74</v>
      </c>
      <c r="B14" s="18" t="n">
        <f aca="false">1-Premissas!$B$13</f>
        <v>0.3</v>
      </c>
      <c r="C14" s="2" t="s">
        <v>65</v>
      </c>
      <c r="D14" s="2"/>
    </row>
    <row r="15" customFormat="false" ht="15" hidden="false" customHeight="false" outlineLevel="0" collapsed="false">
      <c r="A15" s="19" t="s">
        <v>75</v>
      </c>
      <c r="B15" s="20"/>
      <c r="C15" s="20"/>
      <c r="D15" s="20"/>
    </row>
    <row r="16" customFormat="false" ht="15" hidden="false" customHeight="false" outlineLevel="0" collapsed="false">
      <c r="A16" s="2" t="s">
        <v>76</v>
      </c>
      <c r="B16" s="23" t="n">
        <v>0.17</v>
      </c>
      <c r="C16" s="2" t="s">
        <v>65</v>
      </c>
      <c r="D16" s="2" t="s">
        <v>77</v>
      </c>
    </row>
    <row r="17" customFormat="false" ht="15" hidden="false" customHeight="false" outlineLevel="0" collapsed="false">
      <c r="A17" s="2" t="s">
        <v>78</v>
      </c>
      <c r="B17" s="23" t="n">
        <v>0.1</v>
      </c>
      <c r="C17" s="2" t="s">
        <v>65</v>
      </c>
      <c r="D17" s="2" t="s">
        <v>79</v>
      </c>
    </row>
    <row r="18" customFormat="false" ht="15" hidden="false" customHeight="false" outlineLevel="0" collapsed="false">
      <c r="A18" s="19" t="s">
        <v>80</v>
      </c>
      <c r="B18" s="20"/>
      <c r="C18" s="20"/>
      <c r="D18" s="20"/>
    </row>
    <row r="19" customFormat="false" ht="15" hidden="false" customHeight="false" outlineLevel="0" collapsed="false">
      <c r="A19" s="2" t="s">
        <v>81</v>
      </c>
      <c r="B19" s="21" t="n">
        <v>30</v>
      </c>
      <c r="C19" s="2" t="s">
        <v>82</v>
      </c>
      <c r="D19" s="2" t="s">
        <v>83</v>
      </c>
    </row>
    <row r="20" customFormat="false" ht="15" hidden="false" customHeight="false" outlineLevel="0" collapsed="false">
      <c r="A20" s="2" t="s">
        <v>84</v>
      </c>
      <c r="B20" s="21" t="n">
        <v>19.99</v>
      </c>
      <c r="C20" s="2" t="s">
        <v>85</v>
      </c>
      <c r="D20" s="2" t="s">
        <v>86</v>
      </c>
    </row>
    <row r="21" customFormat="false" ht="15" hidden="false" customHeight="false" outlineLevel="0" collapsed="false">
      <c r="A21" s="2" t="s">
        <v>87</v>
      </c>
      <c r="B21" s="21" t="n">
        <v>4.99</v>
      </c>
      <c r="C21" s="2" t="s">
        <v>85</v>
      </c>
      <c r="D21" s="2" t="s">
        <v>86</v>
      </c>
    </row>
    <row r="22" customFormat="false" ht="15" hidden="false" customHeight="false" outlineLevel="0" collapsed="false">
      <c r="A22" s="2" t="s">
        <v>88</v>
      </c>
      <c r="B22" s="24" t="n">
        <v>0.0699</v>
      </c>
      <c r="C22" s="2" t="s">
        <v>65</v>
      </c>
      <c r="D22" s="2" t="s">
        <v>89</v>
      </c>
    </row>
    <row r="23" customFormat="false" ht="15" hidden="false" customHeight="false" outlineLevel="0" collapsed="false">
      <c r="A23" s="2" t="s">
        <v>90</v>
      </c>
      <c r="B23" s="21" t="n">
        <v>2.49</v>
      </c>
      <c r="C23" s="2" t="s">
        <v>85</v>
      </c>
      <c r="D23" s="2" t="s">
        <v>89</v>
      </c>
    </row>
    <row r="24" customFormat="false" ht="15" hidden="false" customHeight="false" outlineLevel="0" collapsed="false">
      <c r="A24" s="2" t="s">
        <v>91</v>
      </c>
      <c r="B24" s="24" t="n">
        <v>0.0099</v>
      </c>
      <c r="C24" s="2" t="s">
        <v>65</v>
      </c>
      <c r="D24" s="2" t="s">
        <v>92</v>
      </c>
    </row>
    <row r="25" customFormat="false" ht="15" hidden="false" customHeight="false" outlineLevel="0" collapsed="false">
      <c r="A25" s="2" t="s">
        <v>93</v>
      </c>
      <c r="B25" s="21" t="n">
        <v>1</v>
      </c>
      <c r="C25" s="2" t="s">
        <v>62</v>
      </c>
      <c r="D25" s="2" t="s">
        <v>92</v>
      </c>
    </row>
    <row r="26" customFormat="false" ht="15" hidden="false" customHeight="false" outlineLevel="0" collapsed="false">
      <c r="A26" s="2" t="s">
        <v>94</v>
      </c>
      <c r="B26" s="24" t="n">
        <v>0.0498</v>
      </c>
      <c r="C26" s="2" t="s">
        <v>65</v>
      </c>
      <c r="D26" s="2" t="s">
        <v>92</v>
      </c>
    </row>
    <row r="27" customFormat="false" ht="15" hidden="false" customHeight="false" outlineLevel="0" collapsed="false">
      <c r="A27" s="2" t="s">
        <v>95</v>
      </c>
      <c r="B27" s="23" t="n">
        <v>0.5</v>
      </c>
      <c r="C27" s="2" t="s">
        <v>65</v>
      </c>
      <c r="D27" s="2" t="s">
        <v>96</v>
      </c>
    </row>
    <row r="28" customFormat="false" ht="15" hidden="false" customHeight="false" outlineLevel="0" collapsed="false">
      <c r="A28" s="2" t="s">
        <v>97</v>
      </c>
      <c r="B28" s="21" t="n">
        <v>9.99</v>
      </c>
      <c r="C28" s="2" t="s">
        <v>85</v>
      </c>
      <c r="D28" s="2" t="s">
        <v>98</v>
      </c>
    </row>
    <row r="29" customFormat="false" ht="15" hidden="false" customHeight="false" outlineLevel="0" collapsed="false">
      <c r="A29" s="2" t="s">
        <v>99</v>
      </c>
      <c r="B29" s="21" t="n">
        <v>25</v>
      </c>
      <c r="C29" s="2" t="s">
        <v>85</v>
      </c>
      <c r="D29" s="2" t="s">
        <v>100</v>
      </c>
    </row>
    <row r="30" customFormat="false" ht="15" hidden="false" customHeight="false" outlineLevel="0" collapsed="false">
      <c r="A30" s="2" t="s">
        <v>101</v>
      </c>
      <c r="B30" s="25" t="n">
        <v>0</v>
      </c>
      <c r="C30" s="2" t="s">
        <v>65</v>
      </c>
      <c r="D30" s="2" t="s">
        <v>102</v>
      </c>
    </row>
    <row r="31" customFormat="false" ht="15" hidden="false" customHeight="false" outlineLevel="0" collapsed="false">
      <c r="A31" s="2" t="s">
        <v>103</v>
      </c>
      <c r="B31" s="26" t="n">
        <v>0</v>
      </c>
      <c r="C31" s="2" t="s">
        <v>56</v>
      </c>
      <c r="D31" s="2" t="s">
        <v>104</v>
      </c>
    </row>
    <row r="32" customFormat="false" ht="15" hidden="false" customHeight="false" outlineLevel="0" collapsed="false">
      <c r="A32" s="19" t="s">
        <v>105</v>
      </c>
      <c r="B32" s="20"/>
      <c r="C32" s="20"/>
      <c r="D32" s="20"/>
    </row>
    <row r="33" customFormat="false" ht="23.85" hidden="false" customHeight="false" outlineLevel="0" collapsed="false">
      <c r="A33" s="3" t="s">
        <v>106</v>
      </c>
      <c r="B33" s="3" t="s">
        <v>107</v>
      </c>
      <c r="C33" s="3" t="s">
        <v>108</v>
      </c>
      <c r="D33" s="3" t="s">
        <v>109</v>
      </c>
    </row>
    <row r="34" customFormat="false" ht="15" hidden="false" customHeight="false" outlineLevel="0" collapsed="false">
      <c r="A34" s="2" t="s">
        <v>110</v>
      </c>
      <c r="B34" s="21" t="n">
        <v>129.9</v>
      </c>
      <c r="C34" s="21" t="n">
        <v>116.91</v>
      </c>
      <c r="D34" s="25" t="n">
        <v>1</v>
      </c>
    </row>
    <row r="35" customFormat="false" ht="15" hidden="false" customHeight="false" outlineLevel="0" collapsed="false">
      <c r="A35" s="2" t="s">
        <v>111</v>
      </c>
      <c r="B35" s="21" t="n">
        <v>233.82</v>
      </c>
      <c r="C35" s="21" t="n">
        <v>207.84</v>
      </c>
      <c r="D35" s="25" t="n">
        <v>0</v>
      </c>
    </row>
    <row r="36" customFormat="false" ht="15" hidden="false" customHeight="false" outlineLevel="0" collapsed="false">
      <c r="A36" s="2" t="s">
        <v>112</v>
      </c>
      <c r="B36" s="21" t="n">
        <v>311.76</v>
      </c>
      <c r="C36" s="21" t="n">
        <v>272.79</v>
      </c>
      <c r="D36" s="25" t="n">
        <v>0</v>
      </c>
    </row>
    <row r="37" customFormat="false" ht="15" hidden="false" customHeight="false" outlineLevel="0" collapsed="false">
      <c r="A37" s="2" t="s">
        <v>113</v>
      </c>
      <c r="D37" s="18" t="n">
        <f aca="false">SUM(D34:D36)</f>
        <v>1</v>
      </c>
    </row>
    <row r="38" customFormat="false" ht="15" hidden="false" customHeight="false" outlineLevel="0" collapsed="false">
      <c r="A38" s="2" t="s">
        <v>114</v>
      </c>
      <c r="B38" s="27" t="n">
        <f aca="false">1*D34+2*D35+3*D36</f>
        <v>1</v>
      </c>
      <c r="C38" s="2" t="s">
        <v>115</v>
      </c>
      <c r="D38" s="2"/>
    </row>
    <row r="39" customFormat="false" ht="15" hidden="false" customHeight="false" outlineLevel="0" collapsed="false">
      <c r="A39" s="2" t="s">
        <v>116</v>
      </c>
      <c r="B39" s="12" t="n">
        <f aca="false">SUMPRODUCT(B34:B36,D34:D36)</f>
        <v>129.9</v>
      </c>
      <c r="C39" s="2" t="s">
        <v>62</v>
      </c>
      <c r="D39" s="2"/>
    </row>
    <row r="40" customFormat="false" ht="15" hidden="false" customHeight="false" outlineLevel="0" collapsed="false">
      <c r="A40" s="2" t="s">
        <v>117</v>
      </c>
      <c r="B40" s="12" t="n">
        <f aca="false">SUMPRODUCT(C34:C36,D34:D36)</f>
        <v>116.91</v>
      </c>
      <c r="C40" s="2" t="s">
        <v>62</v>
      </c>
      <c r="D40" s="2"/>
    </row>
    <row r="41" customFormat="false" ht="15" hidden="false" customHeight="false" outlineLevel="0" collapsed="false">
      <c r="A41" s="19" t="s">
        <v>118</v>
      </c>
      <c r="B41" s="20"/>
      <c r="C41" s="20"/>
      <c r="D41" s="20"/>
    </row>
    <row r="42" customFormat="false" ht="15" hidden="false" customHeight="false" outlineLevel="0" collapsed="false">
      <c r="A42" s="2" t="s">
        <v>119</v>
      </c>
      <c r="B42" s="22" t="n">
        <v>2</v>
      </c>
      <c r="C42" s="2" t="s">
        <v>59</v>
      </c>
      <c r="D42" s="2" t="s">
        <v>120</v>
      </c>
    </row>
    <row r="43" customFormat="false" ht="15" hidden="false" customHeight="false" outlineLevel="0" collapsed="false">
      <c r="A43" s="2" t="s">
        <v>121</v>
      </c>
      <c r="B43" s="22" t="n">
        <v>14</v>
      </c>
      <c r="C43" s="2" t="s">
        <v>59</v>
      </c>
      <c r="D43" s="2" t="s">
        <v>122</v>
      </c>
    </row>
    <row r="44" customFormat="false" ht="15" hidden="false" customHeight="false" outlineLevel="0" collapsed="false">
      <c r="A44" s="2" t="s">
        <v>123</v>
      </c>
      <c r="B44" s="22" t="n">
        <v>0</v>
      </c>
      <c r="C44" s="2" t="s">
        <v>59</v>
      </c>
      <c r="D44" s="2" t="s">
        <v>124</v>
      </c>
    </row>
    <row r="45" customFormat="false" ht="15" hidden="false" customHeight="false" outlineLevel="0" collapsed="false">
      <c r="A45" s="2" t="s">
        <v>125</v>
      </c>
      <c r="B45" s="22" t="n">
        <v>7</v>
      </c>
      <c r="C45" s="2" t="s">
        <v>59</v>
      </c>
      <c r="D45" s="2" t="s">
        <v>126</v>
      </c>
    </row>
    <row r="46" customFormat="false" ht="15" hidden="false" customHeight="false" outlineLevel="0" collapsed="false">
      <c r="A46" s="19" t="s">
        <v>127</v>
      </c>
      <c r="B46" s="20"/>
      <c r="C46" s="20"/>
      <c r="D46" s="20"/>
    </row>
    <row r="47" customFormat="false" ht="15" hidden="false" customHeight="false" outlineLevel="0" collapsed="false">
      <c r="A47" s="2" t="s">
        <v>128</v>
      </c>
      <c r="B47" s="22" t="n">
        <v>1</v>
      </c>
      <c r="C47" s="2" t="s">
        <v>129</v>
      </c>
      <c r="D47" s="2" t="s">
        <v>130</v>
      </c>
    </row>
    <row r="48" customFormat="false" ht="15" hidden="false" customHeight="false" outlineLevel="0" collapsed="false">
      <c r="A48" s="2" t="s">
        <v>131</v>
      </c>
      <c r="B48" s="22" t="n">
        <v>1</v>
      </c>
      <c r="C48" s="2" t="s">
        <v>129</v>
      </c>
      <c r="D48" s="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133</v>
      </c>
    </row>
    <row r="3" customFormat="false" ht="15" hidden="false" customHeight="false" outlineLevel="0" collapsed="false">
      <c r="A3" s="3" t="s">
        <v>134</v>
      </c>
      <c r="B3" s="3" t="s">
        <v>135</v>
      </c>
      <c r="C3" s="3" t="s">
        <v>136</v>
      </c>
      <c r="D3" s="3" t="s">
        <v>137</v>
      </c>
    </row>
    <row r="4" customFormat="false" ht="15" hidden="false" customHeight="false" outlineLevel="0" collapsed="false">
      <c r="A4" s="2" t="s">
        <v>138</v>
      </c>
      <c r="B4" s="12" t="n">
        <f aca="false">Premissas!$B$39</f>
        <v>129.9</v>
      </c>
      <c r="C4" s="12" t="n">
        <f aca="false">Premissas!$B$40</f>
        <v>116.91</v>
      </c>
      <c r="D4" s="2"/>
    </row>
    <row r="5" customFormat="false" ht="15" hidden="false" customHeight="false" outlineLevel="0" collapsed="false">
      <c r="A5" s="2" t="s">
        <v>139</v>
      </c>
      <c r="B5" s="12" t="n">
        <f aca="false">-Premissas!$B$19*Premissas!$B$38</f>
        <v>-30</v>
      </c>
      <c r="C5" s="12" t="n">
        <f aca="false">-Premissas!$B$19*Premissas!$B$38</f>
        <v>-30</v>
      </c>
      <c r="D5" s="2" t="s">
        <v>140</v>
      </c>
    </row>
    <row r="6" customFormat="false" ht="15" hidden="false" customHeight="false" outlineLevel="0" collapsed="false">
      <c r="A6" s="2" t="s">
        <v>141</v>
      </c>
      <c r="B6" s="12" t="n">
        <f aca="false">-(Premissas!$B$22*Premissas!$B$39+Premissas!$B$23)</f>
        <v>-11.57001</v>
      </c>
      <c r="C6" s="12" t="n">
        <f aca="false">-(Premissas!$B$27*(Premissas!$B$24*Premissas!$B$40+Premissas!$B$25)+(1-Premissas!$B$27)*Premissas!$B$26*Premissas!$B$40)</f>
        <v>-3.9897635</v>
      </c>
      <c r="D6" s="2"/>
    </row>
    <row r="7" customFormat="false" ht="15" hidden="false" customHeight="false" outlineLevel="0" collapsed="false">
      <c r="A7" s="2" t="s">
        <v>142</v>
      </c>
      <c r="B7" s="12" t="n">
        <f aca="false">-Premissas!$B$20</f>
        <v>-19.99</v>
      </c>
      <c r="C7" s="12" t="n">
        <f aca="false">0</f>
        <v>0</v>
      </c>
      <c r="D7" s="2" t="s">
        <v>143</v>
      </c>
    </row>
    <row r="8" customFormat="false" ht="15" hidden="false" customHeight="false" outlineLevel="0" collapsed="false">
      <c r="A8" s="2" t="s">
        <v>87</v>
      </c>
      <c r="B8" s="12" t="n">
        <f aca="false">-Premissas!$B$21</f>
        <v>-4.99</v>
      </c>
      <c r="C8" s="12" t="n">
        <f aca="false">-Premissas!$B$21</f>
        <v>-4.99</v>
      </c>
      <c r="D8" s="2"/>
    </row>
    <row r="9" customFormat="false" ht="15" hidden="false" customHeight="false" outlineLevel="0" collapsed="false">
      <c r="A9" s="13" t="s">
        <v>144</v>
      </c>
      <c r="B9" s="14" t="n">
        <f aca="false">SUM(B4:B8)</f>
        <v>63.34999</v>
      </c>
      <c r="C9" s="14" t="n">
        <f aca="false">SUM(C4:C8)</f>
        <v>77.9302365</v>
      </c>
      <c r="D9" s="2"/>
    </row>
    <row r="10" customFormat="false" ht="15" hidden="false" customHeight="false" outlineLevel="0" collapsed="false">
      <c r="A10" s="2" t="s">
        <v>145</v>
      </c>
      <c r="B10" s="12" t="n">
        <f aca="false">-Premissas!$B$16*(B9+Premissas!$B$28)</f>
        <v>-12.4677983</v>
      </c>
      <c r="C10" s="12" t="n">
        <f aca="false">0</f>
        <v>0</v>
      </c>
      <c r="D10" s="2" t="s">
        <v>146</v>
      </c>
    </row>
    <row r="11" customFormat="false" ht="15" hidden="false" customHeight="false" outlineLevel="0" collapsed="false">
      <c r="A11" s="2" t="s">
        <v>147</v>
      </c>
      <c r="B11" s="12" t="n">
        <f aca="false">-Premissas!$B$17*(B9+Premissas!$B$29)</f>
        <v>-8.834999</v>
      </c>
      <c r="C11" s="12" t="n">
        <f aca="false">-Premissas!$B$17*(C9+Premissas!$B$29-C6)</f>
        <v>-10.692</v>
      </c>
      <c r="D11" s="2" t="s">
        <v>148</v>
      </c>
    </row>
    <row r="12" customFormat="false" ht="15" hidden="false" customHeight="false" outlineLevel="0" collapsed="false">
      <c r="A12" s="13" t="s">
        <v>149</v>
      </c>
      <c r="B12" s="14" t="n">
        <f aca="false">SUM(B9:B11)</f>
        <v>42.0471927</v>
      </c>
      <c r="C12" s="14" t="n">
        <f aca="false">SUM(C9:C11)</f>
        <v>67.2382365</v>
      </c>
      <c r="D12" s="2"/>
    </row>
    <row r="13" customFormat="false" ht="15" hidden="false" customHeight="false" outlineLevel="0" collapsed="false">
      <c r="A13" s="2" t="s">
        <v>150</v>
      </c>
      <c r="B13" s="12" t="n">
        <f aca="false">-Premissas!$B$8/Premissas!$B$9</f>
        <v>-15</v>
      </c>
      <c r="C13" s="12" t="n">
        <f aca="false">-Premissas!$B$8/Premissas!$B$9</f>
        <v>-15</v>
      </c>
      <c r="D13" s="2"/>
    </row>
    <row r="14" customFormat="false" ht="15" hidden="false" customHeight="false" outlineLevel="0" collapsed="false">
      <c r="A14" s="2" t="s">
        <v>151</v>
      </c>
      <c r="B14" s="12" t="n">
        <f aca="false">-Premissas!$B$10/Premissas!$B$9</f>
        <v>-2.7</v>
      </c>
      <c r="C14" s="12" t="n">
        <f aca="false">-Premissas!$B$10/Premissas!$B$9</f>
        <v>-2.7</v>
      </c>
      <c r="D14" s="2"/>
    </row>
    <row r="15" customFormat="false" ht="15" hidden="false" customHeight="false" outlineLevel="0" collapsed="false">
      <c r="A15" s="2" t="s">
        <v>152</v>
      </c>
      <c r="B15" s="12" t="n">
        <f aca="false">-Premissas!$B$11</f>
        <v>-0.04</v>
      </c>
      <c r="C15" s="12" t="n">
        <f aca="false">-Premissas!$B$11</f>
        <v>-0.04</v>
      </c>
      <c r="D15" s="2"/>
    </row>
    <row r="16" customFormat="false" ht="15" hidden="false" customHeight="false" outlineLevel="0" collapsed="false">
      <c r="A16" s="2" t="s">
        <v>153</v>
      </c>
      <c r="B16" s="12" t="n">
        <f aca="false">-Premissas!$B$30*Premissas!$B$39*(1-Premissas!$B$16-Premissas!$B$17)</f>
        <v>-0</v>
      </c>
      <c r="C16" s="12" t="n">
        <f aca="false">-Premissas!$B$30*Premissas!$B$40*(1-Premissas!$B$17)</f>
        <v>-0</v>
      </c>
      <c r="D16" s="2"/>
    </row>
    <row r="17" customFormat="false" ht="15" hidden="false" customHeight="false" outlineLevel="0" collapsed="false">
      <c r="A17" s="13" t="s">
        <v>154</v>
      </c>
      <c r="B17" s="14" t="n">
        <f aca="false">SUM(B12:B16)</f>
        <v>24.3071927</v>
      </c>
      <c r="C17" s="14" t="n">
        <f aca="false">SUM(C12:C16)</f>
        <v>49.4982365</v>
      </c>
      <c r="D17" s="2"/>
    </row>
    <row r="18" customFormat="false" ht="15" hidden="false" customHeight="false" outlineLevel="0" collapsed="false">
      <c r="A18" s="13" t="s">
        <v>155</v>
      </c>
      <c r="B18" s="14" t="n">
        <f aca="false">Premissas!$B$13*B17+Premissas!$B$14*C17</f>
        <v>31.86450584</v>
      </c>
    </row>
    <row r="20" customFormat="false" ht="15" hidden="false" customHeight="false" outlineLevel="0" collapsed="false">
      <c r="A20" s="13" t="s">
        <v>156</v>
      </c>
    </row>
    <row r="21" customFormat="false" ht="15" hidden="false" customHeight="false" outlineLevel="0" collapsed="false">
      <c r="A21" s="2" t="s">
        <v>157</v>
      </c>
      <c r="B21" s="18" t="n">
        <f aca="false">1-Premissas!$B$16-Premissas!$B$17</f>
        <v>0.73</v>
      </c>
    </row>
    <row r="22" customFormat="false" ht="15" hidden="false" customHeight="false" outlineLevel="0" collapsed="false">
      <c r="A22" s="2" t="s">
        <v>158</v>
      </c>
      <c r="B22" s="12" t="n">
        <f aca="false">Premissas!$B$19*Premissas!$B$38</f>
        <v>30</v>
      </c>
    </row>
    <row r="23" customFormat="false" ht="15" hidden="false" customHeight="false" outlineLevel="0" collapsed="false">
      <c r="A23" s="2" t="s">
        <v>159</v>
      </c>
      <c r="B23" s="12" t="n">
        <f aca="false">-(B6+B7+B8)</f>
        <v>36.55001</v>
      </c>
    </row>
    <row r="24" customFormat="false" ht="15" hidden="false" customHeight="false" outlineLevel="0" collapsed="false">
      <c r="A24" s="2" t="s">
        <v>160</v>
      </c>
      <c r="B24" s="12" t="n">
        <f aca="false">Unitário!$B$21*Unitário!$B$23+Premissas!$B$16*Premissas!$B$28+Premissas!$B$17*Premissas!$B$29</f>
        <v>30.8798073</v>
      </c>
    </row>
    <row r="25" customFormat="false" ht="15" hidden="false" customHeight="false" outlineLevel="0" collapsed="false">
      <c r="A25" s="2" t="s">
        <v>161</v>
      </c>
      <c r="B25" s="12" t="n">
        <f aca="false">-C6</f>
        <v>3.9897635</v>
      </c>
    </row>
    <row r="26" customFormat="false" ht="15" hidden="false" customHeight="false" outlineLevel="0" collapsed="false">
      <c r="A26" s="2" t="s">
        <v>162</v>
      </c>
      <c r="B26" s="27" t="n">
        <f aca="false">Premissas!$B$6/Premissas!$B$8</f>
        <v>200</v>
      </c>
    </row>
    <row r="27" customFormat="false" ht="15" hidden="false" customHeight="false" outlineLevel="0" collapsed="false">
      <c r="A27" s="2" t="s">
        <v>163</v>
      </c>
      <c r="B27" s="27" t="n">
        <f aca="false">Unitário!$B$26*Premissas!$B$9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6" min="2" style="0" width="15"/>
  </cols>
  <sheetData>
    <row r="1" customFormat="false" ht="15" hidden="false" customHeight="false" outlineLevel="0" collapsed="false">
      <c r="A1" s="11" t="s">
        <v>164</v>
      </c>
    </row>
    <row r="2" customFormat="false" ht="15" hidden="false" customHeight="false" outlineLevel="0" collapsed="false">
      <c r="A2" s="2" t="s">
        <v>165</v>
      </c>
    </row>
    <row r="4" customFormat="false" ht="54" hidden="false" customHeight="true" outlineLevel="0" collapsed="false">
      <c r="A4" s="3" t="s">
        <v>166</v>
      </c>
      <c r="B4" s="3" t="s">
        <v>54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  <c r="H4" s="3" t="s">
        <v>172</v>
      </c>
      <c r="I4" s="3" t="s">
        <v>173</v>
      </c>
      <c r="J4" s="3" t="s">
        <v>174</v>
      </c>
      <c r="K4" s="3" t="s">
        <v>175</v>
      </c>
      <c r="L4" s="3" t="s">
        <v>176</v>
      </c>
      <c r="M4" s="3" t="s">
        <v>177</v>
      </c>
      <c r="N4" s="3" t="s">
        <v>178</v>
      </c>
      <c r="O4" s="3" t="s">
        <v>179</v>
      </c>
      <c r="P4" s="3" t="s">
        <v>180</v>
      </c>
    </row>
    <row r="5" customFormat="false" ht="15" hidden="false" customHeight="false" outlineLevel="0" collapsed="false">
      <c r="A5" s="15" t="n">
        <v>1</v>
      </c>
      <c r="B5" s="12" t="n">
        <f aca="false">IF($A5&lt;=Premissas!$B$7,-Premissas!$B$6,0)</f>
        <v>-300</v>
      </c>
      <c r="C5" s="12" t="n">
        <f aca="false">-(IF($A5&lt;=Premissas!$B$7,Unitário!$B$26*Premissas!$B$10,0)+(D5+E5)*Premissas!$B$11)</f>
        <v>-54.8</v>
      </c>
      <c r="D5" s="27" t="n">
        <f aca="false">IF($A5&lt;=Premissas!$B$7,Unitário!$B$27*Premissas!$B$13,0)</f>
        <v>14</v>
      </c>
      <c r="E5" s="27" t="n">
        <f aca="false">IF($A5&lt;=Premissas!$B$7,Unitário!$B$27*Premissas!$B$14,0)</f>
        <v>6</v>
      </c>
      <c r="F5" s="12" t="n">
        <f aca="false">-Premissas!$B$47*Unitário!$B$22*D5</f>
        <v>-420</v>
      </c>
      <c r="G5" s="12" t="n">
        <f aca="false">IF($A5-(Premissas!$B$42)&gt;=1,INDEX($D$5:$D$94,$A5-(Premissas!$B$42)),0)*(Premissas!$B$47*Unitário!$B$22*(Premissas!$B$16+Premissas!$B$17)-Premissas!$B$48*Unitário!$B$24)</f>
        <v>-0</v>
      </c>
      <c r="H5" s="12" t="n">
        <f aca="false">IF($A5-(Premissas!$B$42+Premissas!$B$43)&gt;=1,INDEX($D$5:$D$94,$A5-(Premissas!$B$42+Premissas!$B$43)),0)*(Unitário!$B$21*Premissas!$B$39-(1-Premissas!$B$48)*Unitário!$B$24-(1-Premissas!$B$47)*Unitário!$B$21*Unitário!$B$22)</f>
        <v>0</v>
      </c>
      <c r="I5" s="12" t="n">
        <f aca="false">IF($A5-(Premissas!$B$44)&gt;=1,INDEX($E$5:$E$94,$A5-(Premissas!$B$44)),0)*(Premissas!$B$40-Unitário!$B$25)</f>
        <v>677.521419</v>
      </c>
      <c r="J5" s="12" t="n">
        <f aca="false">E5*(-Premissas!$B$47*Unitário!$B$22-(1-Premissas!$B$17)*Premissas!$B$21)</f>
        <v>-206.946</v>
      </c>
      <c r="K5" s="12" t="n">
        <f aca="false">IF($A5-(Premissas!$B$45)&gt;=1,INDEX($E$5:$E$94,$A5-(Premissas!$B$45)),0)*Premissas!$B$17*(-Premissas!$B$40-Premissas!$B$29+Premissas!$B$47*Unitário!$B$22)</f>
        <v>-0</v>
      </c>
      <c r="L5" s="12" t="n">
        <f aca="false">-Premissas!$B$30*(IF($A5-(Premissas!$B$42+Premissas!$B$43)&gt;=1,INDEX($D$5:$D$94,$A5-(Premissas!$B$42+Premissas!$B$43)),0)*Unitário!$B$21*Premissas!$B$39+IF($A5-(Premissas!$B$44)&gt;=1,INDEX($E$5:$E$94,$A5-(Premissas!$B$44)),0)*(1-Premissas!$B$17)*Premissas!$B$40)</f>
        <v>-0</v>
      </c>
      <c r="M5" s="12" t="n">
        <f aca="false">-Premissas!$B$31</f>
        <v>-0</v>
      </c>
      <c r="N5" s="12" t="n">
        <f aca="false">B5+C5+F5+G5+H5+I5+J5+K5+L5+M5</f>
        <v>-304.224581</v>
      </c>
      <c r="O5" s="12" t="n">
        <f aca="false">N5</f>
        <v>-304.224581</v>
      </c>
      <c r="P5" s="15" t="n">
        <f aca="false">IF(AND($A5&gt;$B$100,O5&gt;=0),1,0)</f>
        <v>0</v>
      </c>
    </row>
    <row r="6" customFormat="false" ht="15" hidden="false" customHeight="false" outlineLevel="0" collapsed="false">
      <c r="A6" s="15" t="n">
        <v>2</v>
      </c>
      <c r="B6" s="12" t="n">
        <f aca="false">IF($A6&lt;=Premissas!$B$7,-Premissas!$B$6,0)</f>
        <v>-300</v>
      </c>
      <c r="C6" s="12" t="n">
        <f aca="false">-(IF($A6&lt;=Premissas!$B$7,Unitário!$B$26*Premissas!$B$10,0)+(D6+E6)*Premissas!$B$11)</f>
        <v>-54.8</v>
      </c>
      <c r="D6" s="27" t="n">
        <f aca="false">IF($A6&lt;=Premissas!$B$7,Unitário!$B$27*Premissas!$B$13,0)</f>
        <v>14</v>
      </c>
      <c r="E6" s="27" t="n">
        <f aca="false">IF($A6&lt;=Premissas!$B$7,Unitário!$B$27*Premissas!$B$14,0)</f>
        <v>6</v>
      </c>
      <c r="F6" s="12" t="n">
        <f aca="false">-Premissas!$B$47*Unitário!$B$22*D6</f>
        <v>-420</v>
      </c>
      <c r="G6" s="12" t="n">
        <f aca="false">IF($A6-(Premissas!$B$42)&gt;=1,INDEX($D$5:$D$94,$A6-(Premissas!$B$42)),0)*(Premissas!$B$47*Unitário!$B$22*(Premissas!$B$16+Premissas!$B$17)-Premissas!$B$48*Unitário!$B$24)</f>
        <v>-0</v>
      </c>
      <c r="H6" s="12" t="n">
        <f aca="false">IF($A6-(Premissas!$B$42+Premissas!$B$43)&gt;=1,INDEX($D$5:$D$94,$A6-(Premissas!$B$42+Premissas!$B$43)),0)*(Unitário!$B$21*Premissas!$B$39-(1-Premissas!$B$48)*Unitário!$B$24-(1-Premissas!$B$47)*Unitário!$B$21*Unitário!$B$22)</f>
        <v>0</v>
      </c>
      <c r="I6" s="12" t="n">
        <f aca="false">IF($A6-(Premissas!$B$44)&gt;=1,INDEX($E$5:$E$94,$A6-(Premissas!$B$44)),0)*(Premissas!$B$40-Unitário!$B$25)</f>
        <v>677.521419</v>
      </c>
      <c r="J6" s="12" t="n">
        <f aca="false">E6*(-Premissas!$B$47*Unitário!$B$22-(1-Premissas!$B$17)*Premissas!$B$21)</f>
        <v>-206.946</v>
      </c>
      <c r="K6" s="12" t="n">
        <f aca="false">IF($A6-(Premissas!$B$45)&gt;=1,INDEX($E$5:$E$94,$A6-(Premissas!$B$45)),0)*Premissas!$B$17*(-Premissas!$B$40-Premissas!$B$29+Premissas!$B$47*Unitário!$B$22)</f>
        <v>-0</v>
      </c>
      <c r="L6" s="12" t="n">
        <f aca="false">-Premissas!$B$30*(IF($A6-(Premissas!$B$42+Premissas!$B$43)&gt;=1,INDEX($D$5:$D$94,$A6-(Premissas!$B$42+Premissas!$B$43)),0)*Unitário!$B$21*Premissas!$B$39+IF($A6-(Premissas!$B$44)&gt;=1,INDEX($E$5:$E$94,$A6-(Premissas!$B$44)),0)*(1-Premissas!$B$17)*Premissas!$B$40)</f>
        <v>-0</v>
      </c>
      <c r="M6" s="12" t="n">
        <f aca="false">-Premissas!$B$31</f>
        <v>-0</v>
      </c>
      <c r="N6" s="12" t="n">
        <f aca="false">B6+C6+F6+G6+H6+I6+J6+K6+L6+M6</f>
        <v>-304.224581</v>
      </c>
      <c r="O6" s="12" t="n">
        <f aca="false">O5+N6</f>
        <v>-608.449162</v>
      </c>
      <c r="P6" s="15" t="n">
        <f aca="false">IF(AND($A6&gt;$B$100,O6&gt;=0),1,0)</f>
        <v>0</v>
      </c>
    </row>
    <row r="7" customFormat="false" ht="15" hidden="false" customHeight="false" outlineLevel="0" collapsed="false">
      <c r="A7" s="15" t="n">
        <v>3</v>
      </c>
      <c r="B7" s="12" t="n">
        <f aca="false">IF($A7&lt;=Premissas!$B$7,-Premissas!$B$6,0)</f>
        <v>-300</v>
      </c>
      <c r="C7" s="12" t="n">
        <f aca="false">-(IF($A7&lt;=Premissas!$B$7,Unitário!$B$26*Premissas!$B$10,0)+(D7+E7)*Premissas!$B$11)</f>
        <v>-54.8</v>
      </c>
      <c r="D7" s="27" t="n">
        <f aca="false">IF($A7&lt;=Premissas!$B$7,Unitário!$B$27*Premissas!$B$13,0)</f>
        <v>14</v>
      </c>
      <c r="E7" s="27" t="n">
        <f aca="false">IF($A7&lt;=Premissas!$B$7,Unitário!$B$27*Premissas!$B$14,0)</f>
        <v>6</v>
      </c>
      <c r="F7" s="12" t="n">
        <f aca="false">-Premissas!$B$47*Unitário!$B$22*D7</f>
        <v>-420</v>
      </c>
      <c r="G7" s="12" t="n">
        <f aca="false">IF($A7-(Premissas!$B$42)&gt;=1,INDEX($D$5:$D$94,$A7-(Premissas!$B$42)),0)*(Premissas!$B$47*Unitário!$B$22*(Premissas!$B$16+Premissas!$B$17)-Premissas!$B$48*Unitário!$B$24)</f>
        <v>-318.9173022</v>
      </c>
      <c r="H7" s="12" t="n">
        <f aca="false">IF($A7-(Premissas!$B$42+Premissas!$B$43)&gt;=1,INDEX($D$5:$D$94,$A7-(Premissas!$B$42+Premissas!$B$43)),0)*(Unitário!$B$21*Premissas!$B$39-(1-Premissas!$B$48)*Unitário!$B$24-(1-Premissas!$B$47)*Unitário!$B$21*Unitário!$B$22)</f>
        <v>0</v>
      </c>
      <c r="I7" s="12" t="n">
        <f aca="false">IF($A7-(Premissas!$B$44)&gt;=1,INDEX($E$5:$E$94,$A7-(Premissas!$B$44)),0)*(Premissas!$B$40-Unitário!$B$25)</f>
        <v>677.521419</v>
      </c>
      <c r="J7" s="12" t="n">
        <f aca="false">E7*(-Premissas!$B$47*Unitário!$B$22-(1-Premissas!$B$17)*Premissas!$B$21)</f>
        <v>-206.946</v>
      </c>
      <c r="K7" s="12" t="n">
        <f aca="false">IF($A7-(Premissas!$B$45)&gt;=1,INDEX($E$5:$E$94,$A7-(Premissas!$B$45)),0)*Premissas!$B$17*(-Premissas!$B$40-Premissas!$B$29+Premissas!$B$47*Unitário!$B$22)</f>
        <v>-0</v>
      </c>
      <c r="L7" s="12" t="n">
        <f aca="false">-Premissas!$B$30*(IF($A7-(Premissas!$B$42+Premissas!$B$43)&gt;=1,INDEX($D$5:$D$94,$A7-(Premissas!$B$42+Premissas!$B$43)),0)*Unitário!$B$21*Premissas!$B$39+IF($A7-(Premissas!$B$44)&gt;=1,INDEX($E$5:$E$94,$A7-(Premissas!$B$44)),0)*(1-Premissas!$B$17)*Premissas!$B$40)</f>
        <v>-0</v>
      </c>
      <c r="M7" s="12" t="n">
        <f aca="false">-Premissas!$B$31</f>
        <v>-0</v>
      </c>
      <c r="N7" s="12" t="n">
        <f aca="false">B7+C7+F7+G7+H7+I7+J7+K7+L7+M7</f>
        <v>-623.1418832</v>
      </c>
      <c r="O7" s="12" t="n">
        <f aca="false">O6+N7</f>
        <v>-1231.5910452</v>
      </c>
      <c r="P7" s="15" t="n">
        <f aca="false">IF(AND($A7&gt;$B$100,O7&gt;=0),1,0)</f>
        <v>0</v>
      </c>
    </row>
    <row r="8" customFormat="false" ht="15" hidden="false" customHeight="false" outlineLevel="0" collapsed="false">
      <c r="A8" s="15" t="n">
        <v>4</v>
      </c>
      <c r="B8" s="12" t="n">
        <f aca="false">IF($A8&lt;=Premissas!$B$7,-Premissas!$B$6,0)</f>
        <v>-300</v>
      </c>
      <c r="C8" s="12" t="n">
        <f aca="false">-(IF($A8&lt;=Premissas!$B$7,Unitário!$B$26*Premissas!$B$10,0)+(D8+E8)*Premissas!$B$11)</f>
        <v>-54.8</v>
      </c>
      <c r="D8" s="27" t="n">
        <f aca="false">IF($A8&lt;=Premissas!$B$7,Unitário!$B$27*Premissas!$B$13,0)</f>
        <v>14</v>
      </c>
      <c r="E8" s="27" t="n">
        <f aca="false">IF($A8&lt;=Premissas!$B$7,Unitário!$B$27*Premissas!$B$14,0)</f>
        <v>6</v>
      </c>
      <c r="F8" s="12" t="n">
        <f aca="false">-Premissas!$B$47*Unitário!$B$22*D8</f>
        <v>-420</v>
      </c>
      <c r="G8" s="12" t="n">
        <f aca="false">IF($A8-(Premissas!$B$42)&gt;=1,INDEX($D$5:$D$94,$A8-(Premissas!$B$42)),0)*(Premissas!$B$47*Unitário!$B$22*(Premissas!$B$16+Premissas!$B$17)-Premissas!$B$48*Unitário!$B$24)</f>
        <v>-318.9173022</v>
      </c>
      <c r="H8" s="12" t="n">
        <f aca="false">IF($A8-(Premissas!$B$42+Premissas!$B$43)&gt;=1,INDEX($D$5:$D$94,$A8-(Premissas!$B$42+Premissas!$B$43)),0)*(Unitário!$B$21*Premissas!$B$39-(1-Premissas!$B$48)*Unitário!$B$24-(1-Premissas!$B$47)*Unitário!$B$21*Unitário!$B$22)</f>
        <v>0</v>
      </c>
      <c r="I8" s="12" t="n">
        <f aca="false">IF($A8-(Premissas!$B$44)&gt;=1,INDEX($E$5:$E$94,$A8-(Premissas!$B$44)),0)*(Premissas!$B$40-Unitário!$B$25)</f>
        <v>677.521419</v>
      </c>
      <c r="J8" s="12" t="n">
        <f aca="false">E8*(-Premissas!$B$47*Unitário!$B$22-(1-Premissas!$B$17)*Premissas!$B$21)</f>
        <v>-206.946</v>
      </c>
      <c r="K8" s="12" t="n">
        <f aca="false">IF($A8-(Premissas!$B$45)&gt;=1,INDEX($E$5:$E$94,$A8-(Premissas!$B$45)),0)*Premissas!$B$17*(-Premissas!$B$40-Premissas!$B$29+Premissas!$B$47*Unitário!$B$22)</f>
        <v>-0</v>
      </c>
      <c r="L8" s="12" t="n">
        <f aca="false">-Premissas!$B$30*(IF($A8-(Premissas!$B$42+Premissas!$B$43)&gt;=1,INDEX($D$5:$D$94,$A8-(Premissas!$B$42+Premissas!$B$43)),0)*Unitário!$B$21*Premissas!$B$39+IF($A8-(Premissas!$B$44)&gt;=1,INDEX($E$5:$E$94,$A8-(Premissas!$B$44)),0)*(1-Premissas!$B$17)*Premissas!$B$40)</f>
        <v>-0</v>
      </c>
      <c r="M8" s="12" t="n">
        <f aca="false">-Premissas!$B$31</f>
        <v>-0</v>
      </c>
      <c r="N8" s="12" t="n">
        <f aca="false">B8+C8+F8+G8+H8+I8+J8+K8+L8+M8</f>
        <v>-623.1418832</v>
      </c>
      <c r="O8" s="12" t="n">
        <f aca="false">O7+N8</f>
        <v>-1854.7329284</v>
      </c>
      <c r="P8" s="15" t="n">
        <f aca="false">IF(AND($A8&gt;$B$100,O8&gt;=0),1,0)</f>
        <v>0</v>
      </c>
    </row>
    <row r="9" customFormat="false" ht="15" hidden="false" customHeight="false" outlineLevel="0" collapsed="false">
      <c r="A9" s="15" t="n">
        <v>5</v>
      </c>
      <c r="B9" s="12" t="n">
        <f aca="false">IF($A9&lt;=Premissas!$B$7,-Premissas!$B$6,0)</f>
        <v>-300</v>
      </c>
      <c r="C9" s="12" t="n">
        <f aca="false">-(IF($A9&lt;=Premissas!$B$7,Unitário!$B$26*Premissas!$B$10,0)+(D9+E9)*Premissas!$B$11)</f>
        <v>-54.8</v>
      </c>
      <c r="D9" s="27" t="n">
        <f aca="false">IF($A9&lt;=Premissas!$B$7,Unitário!$B$27*Premissas!$B$13,0)</f>
        <v>14</v>
      </c>
      <c r="E9" s="27" t="n">
        <f aca="false">IF($A9&lt;=Premissas!$B$7,Unitário!$B$27*Premissas!$B$14,0)</f>
        <v>6</v>
      </c>
      <c r="F9" s="12" t="n">
        <f aca="false">-Premissas!$B$47*Unitário!$B$22*D9</f>
        <v>-420</v>
      </c>
      <c r="G9" s="12" t="n">
        <f aca="false">IF($A9-(Premissas!$B$42)&gt;=1,INDEX($D$5:$D$94,$A9-(Premissas!$B$42)),0)*(Premissas!$B$47*Unitário!$B$22*(Premissas!$B$16+Premissas!$B$17)-Premissas!$B$48*Unitário!$B$24)</f>
        <v>-318.9173022</v>
      </c>
      <c r="H9" s="12" t="n">
        <f aca="false">IF($A9-(Premissas!$B$42+Premissas!$B$43)&gt;=1,INDEX($D$5:$D$94,$A9-(Premissas!$B$42+Premissas!$B$43)),0)*(Unitário!$B$21*Premissas!$B$39-(1-Premissas!$B$48)*Unitário!$B$24-(1-Premissas!$B$47)*Unitário!$B$21*Unitário!$B$22)</f>
        <v>0</v>
      </c>
      <c r="I9" s="12" t="n">
        <f aca="false">IF($A9-(Premissas!$B$44)&gt;=1,INDEX($E$5:$E$94,$A9-(Premissas!$B$44)),0)*(Premissas!$B$40-Unitário!$B$25)</f>
        <v>677.521419</v>
      </c>
      <c r="J9" s="12" t="n">
        <f aca="false">E9*(-Premissas!$B$47*Unitário!$B$22-(1-Premissas!$B$17)*Premissas!$B$21)</f>
        <v>-206.946</v>
      </c>
      <c r="K9" s="12" t="n">
        <f aca="false">IF($A9-(Premissas!$B$45)&gt;=1,INDEX($E$5:$E$94,$A9-(Premissas!$B$45)),0)*Premissas!$B$17*(-Premissas!$B$40-Premissas!$B$29+Premissas!$B$47*Unitário!$B$22)</f>
        <v>-0</v>
      </c>
      <c r="L9" s="12" t="n">
        <f aca="false">-Premissas!$B$30*(IF($A9-(Premissas!$B$42+Premissas!$B$43)&gt;=1,INDEX($D$5:$D$94,$A9-(Premissas!$B$42+Premissas!$B$43)),0)*Unitário!$B$21*Premissas!$B$39+IF($A9-(Premissas!$B$44)&gt;=1,INDEX($E$5:$E$94,$A9-(Premissas!$B$44)),0)*(1-Premissas!$B$17)*Premissas!$B$40)</f>
        <v>-0</v>
      </c>
      <c r="M9" s="12" t="n">
        <f aca="false">-Premissas!$B$31</f>
        <v>-0</v>
      </c>
      <c r="N9" s="12" t="n">
        <f aca="false">B9+C9+F9+G9+H9+I9+J9+K9+L9+M9</f>
        <v>-623.1418832</v>
      </c>
      <c r="O9" s="12" t="n">
        <f aca="false">O8+N9</f>
        <v>-2477.8748116</v>
      </c>
      <c r="P9" s="15" t="n">
        <f aca="false">IF(AND($A9&gt;$B$100,O9&gt;=0),1,0)</f>
        <v>0</v>
      </c>
    </row>
    <row r="10" customFormat="false" ht="15" hidden="false" customHeight="false" outlineLevel="0" collapsed="false">
      <c r="A10" s="15" t="n">
        <v>6</v>
      </c>
      <c r="B10" s="12" t="n">
        <f aca="false">IF($A10&lt;=Premissas!$B$7,-Premissas!$B$6,0)</f>
        <v>-300</v>
      </c>
      <c r="C10" s="12" t="n">
        <f aca="false">-(IF($A10&lt;=Premissas!$B$7,Unitário!$B$26*Premissas!$B$10,0)+(D10+E10)*Premissas!$B$11)</f>
        <v>-54.8</v>
      </c>
      <c r="D10" s="27" t="n">
        <f aca="false">IF($A10&lt;=Premissas!$B$7,Unitário!$B$27*Premissas!$B$13,0)</f>
        <v>14</v>
      </c>
      <c r="E10" s="27" t="n">
        <f aca="false">IF($A10&lt;=Premissas!$B$7,Unitário!$B$27*Premissas!$B$14,0)</f>
        <v>6</v>
      </c>
      <c r="F10" s="12" t="n">
        <f aca="false">-Premissas!$B$47*Unitário!$B$22*D10</f>
        <v>-420</v>
      </c>
      <c r="G10" s="12" t="n">
        <f aca="false">IF($A10-(Premissas!$B$42)&gt;=1,INDEX($D$5:$D$94,$A10-(Premissas!$B$42)),0)*(Premissas!$B$47*Unitário!$B$22*(Premissas!$B$16+Premissas!$B$17)-Premissas!$B$48*Unitário!$B$24)</f>
        <v>-318.9173022</v>
      </c>
      <c r="H10" s="12" t="n">
        <f aca="false">IF($A10-(Premissas!$B$42+Premissas!$B$43)&gt;=1,INDEX($D$5:$D$94,$A10-(Premissas!$B$42+Premissas!$B$43)),0)*(Unitário!$B$21*Premissas!$B$39-(1-Premissas!$B$48)*Unitário!$B$24-(1-Premissas!$B$47)*Unitário!$B$21*Unitário!$B$22)</f>
        <v>0</v>
      </c>
      <c r="I10" s="12" t="n">
        <f aca="false">IF($A10-(Premissas!$B$44)&gt;=1,INDEX($E$5:$E$94,$A10-(Premissas!$B$44)),0)*(Premissas!$B$40-Unitário!$B$25)</f>
        <v>677.521419</v>
      </c>
      <c r="J10" s="12" t="n">
        <f aca="false">E10*(-Premissas!$B$47*Unitário!$B$22-(1-Premissas!$B$17)*Premissas!$B$21)</f>
        <v>-206.946</v>
      </c>
      <c r="K10" s="12" t="n">
        <f aca="false">IF($A10-(Premissas!$B$45)&gt;=1,INDEX($E$5:$E$94,$A10-(Premissas!$B$45)),0)*Premissas!$B$17*(-Premissas!$B$40-Premissas!$B$29+Premissas!$B$47*Unitário!$B$22)</f>
        <v>-0</v>
      </c>
      <c r="L10" s="12" t="n">
        <f aca="false">-Premissas!$B$30*(IF($A10-(Premissas!$B$42+Premissas!$B$43)&gt;=1,INDEX($D$5:$D$94,$A10-(Premissas!$B$42+Premissas!$B$43)),0)*Unitário!$B$21*Premissas!$B$39+IF($A10-(Premissas!$B$44)&gt;=1,INDEX($E$5:$E$94,$A10-(Premissas!$B$44)),0)*(1-Premissas!$B$17)*Premissas!$B$40)</f>
        <v>-0</v>
      </c>
      <c r="M10" s="12" t="n">
        <f aca="false">-Premissas!$B$31</f>
        <v>-0</v>
      </c>
      <c r="N10" s="12" t="n">
        <f aca="false">B10+C10+F10+G10+H10+I10+J10+K10+L10+M10</f>
        <v>-623.1418832</v>
      </c>
      <c r="O10" s="12" t="n">
        <f aca="false">O9+N10</f>
        <v>-3101.0166948</v>
      </c>
      <c r="P10" s="15" t="n">
        <f aca="false">IF(AND($A10&gt;$B$100,O10&gt;=0),1,0)</f>
        <v>0</v>
      </c>
    </row>
    <row r="11" customFormat="false" ht="15" hidden="false" customHeight="false" outlineLevel="0" collapsed="false">
      <c r="A11" s="15" t="n">
        <v>7</v>
      </c>
      <c r="B11" s="12" t="n">
        <f aca="false">IF($A11&lt;=Premissas!$B$7,-Premissas!$B$6,0)</f>
        <v>-300</v>
      </c>
      <c r="C11" s="12" t="n">
        <f aca="false">-(IF($A11&lt;=Premissas!$B$7,Unitário!$B$26*Premissas!$B$10,0)+(D11+E11)*Premissas!$B$11)</f>
        <v>-54.8</v>
      </c>
      <c r="D11" s="27" t="n">
        <f aca="false">IF($A11&lt;=Premissas!$B$7,Unitário!$B$27*Premissas!$B$13,0)</f>
        <v>14</v>
      </c>
      <c r="E11" s="27" t="n">
        <f aca="false">IF($A11&lt;=Premissas!$B$7,Unitário!$B$27*Premissas!$B$14,0)</f>
        <v>6</v>
      </c>
      <c r="F11" s="12" t="n">
        <f aca="false">-Premissas!$B$47*Unitário!$B$22*D11</f>
        <v>-420</v>
      </c>
      <c r="G11" s="12" t="n">
        <f aca="false">IF($A11-(Premissas!$B$42)&gt;=1,INDEX($D$5:$D$94,$A11-(Premissas!$B$42)),0)*(Premissas!$B$47*Unitário!$B$22*(Premissas!$B$16+Premissas!$B$17)-Premissas!$B$48*Unitário!$B$24)</f>
        <v>-318.9173022</v>
      </c>
      <c r="H11" s="12" t="n">
        <f aca="false">IF($A11-(Premissas!$B$42+Premissas!$B$43)&gt;=1,INDEX($D$5:$D$94,$A11-(Premissas!$B$42+Premissas!$B$43)),0)*(Unitário!$B$21*Premissas!$B$39-(1-Premissas!$B$48)*Unitário!$B$24-(1-Premissas!$B$47)*Unitário!$B$21*Unitário!$B$22)</f>
        <v>0</v>
      </c>
      <c r="I11" s="12" t="n">
        <f aca="false">IF($A11-(Premissas!$B$44)&gt;=1,INDEX($E$5:$E$94,$A11-(Premissas!$B$44)),0)*(Premissas!$B$40-Unitário!$B$25)</f>
        <v>677.521419</v>
      </c>
      <c r="J11" s="12" t="n">
        <f aca="false">E11*(-Premissas!$B$47*Unitário!$B$22-(1-Premissas!$B$17)*Premissas!$B$21)</f>
        <v>-206.946</v>
      </c>
      <c r="K11" s="12" t="n">
        <f aca="false">IF($A11-(Premissas!$B$45)&gt;=1,INDEX($E$5:$E$94,$A11-(Premissas!$B$45)),0)*Premissas!$B$17*(-Premissas!$B$40-Premissas!$B$29+Premissas!$B$47*Unitário!$B$22)</f>
        <v>-0</v>
      </c>
      <c r="L11" s="12" t="n">
        <f aca="false">-Premissas!$B$30*(IF($A11-(Premissas!$B$42+Premissas!$B$43)&gt;=1,INDEX($D$5:$D$94,$A11-(Premissas!$B$42+Premissas!$B$43)),0)*Unitário!$B$21*Premissas!$B$39+IF($A11-(Premissas!$B$44)&gt;=1,INDEX($E$5:$E$94,$A11-(Premissas!$B$44)),0)*(1-Premissas!$B$17)*Premissas!$B$40)</f>
        <v>-0</v>
      </c>
      <c r="M11" s="12" t="n">
        <f aca="false">-Premissas!$B$31</f>
        <v>-0</v>
      </c>
      <c r="N11" s="12" t="n">
        <f aca="false">B11+C11+F11+G11+H11+I11+J11+K11+L11+M11</f>
        <v>-623.1418832</v>
      </c>
      <c r="O11" s="12" t="n">
        <f aca="false">O10+N11</f>
        <v>-3724.158578</v>
      </c>
      <c r="P11" s="15" t="n">
        <f aca="false">IF(AND($A11&gt;$B$100,O11&gt;=0),1,0)</f>
        <v>0</v>
      </c>
    </row>
    <row r="12" customFormat="false" ht="15" hidden="false" customHeight="false" outlineLevel="0" collapsed="false">
      <c r="A12" s="15" t="n">
        <v>8</v>
      </c>
      <c r="B12" s="12" t="n">
        <f aca="false">IF($A12&lt;=Premissas!$B$7,-Premissas!$B$6,0)</f>
        <v>-300</v>
      </c>
      <c r="C12" s="12" t="n">
        <f aca="false">-(IF($A12&lt;=Premissas!$B$7,Unitário!$B$26*Premissas!$B$10,0)+(D12+E12)*Premissas!$B$11)</f>
        <v>-54.8</v>
      </c>
      <c r="D12" s="27" t="n">
        <f aca="false">IF($A12&lt;=Premissas!$B$7,Unitário!$B$27*Premissas!$B$13,0)</f>
        <v>14</v>
      </c>
      <c r="E12" s="27" t="n">
        <f aca="false">IF($A12&lt;=Premissas!$B$7,Unitário!$B$27*Premissas!$B$14,0)</f>
        <v>6</v>
      </c>
      <c r="F12" s="12" t="n">
        <f aca="false">-Premissas!$B$47*Unitário!$B$22*D12</f>
        <v>-420</v>
      </c>
      <c r="G12" s="12" t="n">
        <f aca="false">IF($A12-(Premissas!$B$42)&gt;=1,INDEX($D$5:$D$94,$A12-(Premissas!$B$42)),0)*(Premissas!$B$47*Unitário!$B$22*(Premissas!$B$16+Premissas!$B$17)-Premissas!$B$48*Unitário!$B$24)</f>
        <v>-318.9173022</v>
      </c>
      <c r="H12" s="12" t="n">
        <f aca="false">IF($A12-(Premissas!$B$42+Premissas!$B$43)&gt;=1,INDEX($D$5:$D$94,$A12-(Premissas!$B$42+Premissas!$B$43)),0)*(Unitário!$B$21*Premissas!$B$39-(1-Premissas!$B$48)*Unitário!$B$24-(1-Premissas!$B$47)*Unitário!$B$21*Unitário!$B$22)</f>
        <v>0</v>
      </c>
      <c r="I12" s="12" t="n">
        <f aca="false">IF($A12-(Premissas!$B$44)&gt;=1,INDEX($E$5:$E$94,$A12-(Premissas!$B$44)),0)*(Premissas!$B$40-Unitário!$B$25)</f>
        <v>677.521419</v>
      </c>
      <c r="J12" s="12" t="n">
        <f aca="false">E12*(-Premissas!$B$47*Unitário!$B$22-(1-Premissas!$B$17)*Premissas!$B$21)</f>
        <v>-206.946</v>
      </c>
      <c r="K12" s="12" t="n">
        <f aca="false">IF($A12-(Premissas!$B$45)&gt;=1,INDEX($E$5:$E$94,$A12-(Premissas!$B$45)),0)*Premissas!$B$17*(-Premissas!$B$40-Premissas!$B$29+Premissas!$B$47*Unitário!$B$22)</f>
        <v>-67.146</v>
      </c>
      <c r="L12" s="12" t="n">
        <f aca="false">-Premissas!$B$30*(IF($A12-(Premissas!$B$42+Premissas!$B$43)&gt;=1,INDEX($D$5:$D$94,$A12-(Premissas!$B$42+Premissas!$B$43)),0)*Unitário!$B$21*Premissas!$B$39+IF($A12-(Premissas!$B$44)&gt;=1,INDEX($E$5:$E$94,$A12-(Premissas!$B$44)),0)*(1-Premissas!$B$17)*Premissas!$B$40)</f>
        <v>-0</v>
      </c>
      <c r="M12" s="12" t="n">
        <f aca="false">-Premissas!$B$31</f>
        <v>-0</v>
      </c>
      <c r="N12" s="12" t="n">
        <f aca="false">B12+C12+F12+G12+H12+I12+J12+K12+L12+M12</f>
        <v>-690.2878832</v>
      </c>
      <c r="O12" s="12" t="n">
        <f aca="false">O11+N12</f>
        <v>-4414.4464612</v>
      </c>
      <c r="P12" s="15" t="n">
        <f aca="false">IF(AND($A12&gt;$B$100,O12&gt;=0),1,0)</f>
        <v>0</v>
      </c>
    </row>
    <row r="13" customFormat="false" ht="15" hidden="false" customHeight="false" outlineLevel="0" collapsed="false">
      <c r="A13" s="15" t="n">
        <v>9</v>
      </c>
      <c r="B13" s="12" t="n">
        <f aca="false">IF($A13&lt;=Premissas!$B$7,-Premissas!$B$6,0)</f>
        <v>-300</v>
      </c>
      <c r="C13" s="12" t="n">
        <f aca="false">-(IF($A13&lt;=Premissas!$B$7,Unitário!$B$26*Premissas!$B$10,0)+(D13+E13)*Premissas!$B$11)</f>
        <v>-54.8</v>
      </c>
      <c r="D13" s="27" t="n">
        <f aca="false">IF($A13&lt;=Premissas!$B$7,Unitário!$B$27*Premissas!$B$13,0)</f>
        <v>14</v>
      </c>
      <c r="E13" s="27" t="n">
        <f aca="false">IF($A13&lt;=Premissas!$B$7,Unitário!$B$27*Premissas!$B$14,0)</f>
        <v>6</v>
      </c>
      <c r="F13" s="12" t="n">
        <f aca="false">-Premissas!$B$47*Unitário!$B$22*D13</f>
        <v>-420</v>
      </c>
      <c r="G13" s="12" t="n">
        <f aca="false">IF($A13-(Premissas!$B$42)&gt;=1,INDEX($D$5:$D$94,$A13-(Premissas!$B$42)),0)*(Premissas!$B$47*Unitário!$B$22*(Premissas!$B$16+Premissas!$B$17)-Premissas!$B$48*Unitário!$B$24)</f>
        <v>-318.9173022</v>
      </c>
      <c r="H13" s="12" t="n">
        <f aca="false">IF($A13-(Premissas!$B$42+Premissas!$B$43)&gt;=1,INDEX($D$5:$D$94,$A13-(Premissas!$B$42+Premissas!$B$43)),0)*(Unitário!$B$21*Premissas!$B$39-(1-Premissas!$B$48)*Unitário!$B$24-(1-Premissas!$B$47)*Unitário!$B$21*Unitário!$B$22)</f>
        <v>0</v>
      </c>
      <c r="I13" s="12" t="n">
        <f aca="false">IF($A13-(Premissas!$B$44)&gt;=1,INDEX($E$5:$E$94,$A13-(Premissas!$B$44)),0)*(Premissas!$B$40-Unitário!$B$25)</f>
        <v>677.521419</v>
      </c>
      <c r="J13" s="12" t="n">
        <f aca="false">E13*(-Premissas!$B$47*Unitário!$B$22-(1-Premissas!$B$17)*Premissas!$B$21)</f>
        <v>-206.946</v>
      </c>
      <c r="K13" s="12" t="n">
        <f aca="false">IF($A13-(Premissas!$B$45)&gt;=1,INDEX($E$5:$E$94,$A13-(Premissas!$B$45)),0)*Premissas!$B$17*(-Premissas!$B$40-Premissas!$B$29+Premissas!$B$47*Unitário!$B$22)</f>
        <v>-67.146</v>
      </c>
      <c r="L13" s="12" t="n">
        <f aca="false">-Premissas!$B$30*(IF($A13-(Premissas!$B$42+Premissas!$B$43)&gt;=1,INDEX($D$5:$D$94,$A13-(Premissas!$B$42+Premissas!$B$43)),0)*Unitário!$B$21*Premissas!$B$39+IF($A13-(Premissas!$B$44)&gt;=1,INDEX($E$5:$E$94,$A13-(Premissas!$B$44)),0)*(1-Premissas!$B$17)*Premissas!$B$40)</f>
        <v>-0</v>
      </c>
      <c r="M13" s="12" t="n">
        <f aca="false">-Premissas!$B$31</f>
        <v>-0</v>
      </c>
      <c r="N13" s="12" t="n">
        <f aca="false">B13+C13+F13+G13+H13+I13+J13+K13+L13+M13</f>
        <v>-690.2878832</v>
      </c>
      <c r="O13" s="12" t="n">
        <f aca="false">O12+N13</f>
        <v>-5104.7343444</v>
      </c>
      <c r="P13" s="15" t="n">
        <f aca="false">IF(AND($A13&gt;$B$100,O13&gt;=0),1,0)</f>
        <v>0</v>
      </c>
    </row>
    <row r="14" customFormat="false" ht="15" hidden="false" customHeight="false" outlineLevel="0" collapsed="false">
      <c r="A14" s="15" t="n">
        <v>10</v>
      </c>
      <c r="B14" s="12" t="n">
        <f aca="false">IF($A14&lt;=Premissas!$B$7,-Premissas!$B$6,0)</f>
        <v>-300</v>
      </c>
      <c r="C14" s="12" t="n">
        <f aca="false">-(IF($A14&lt;=Premissas!$B$7,Unitário!$B$26*Premissas!$B$10,0)+(D14+E14)*Premissas!$B$11)</f>
        <v>-54.8</v>
      </c>
      <c r="D14" s="27" t="n">
        <f aca="false">IF($A14&lt;=Premissas!$B$7,Unitário!$B$27*Premissas!$B$13,0)</f>
        <v>14</v>
      </c>
      <c r="E14" s="27" t="n">
        <f aca="false">IF($A14&lt;=Premissas!$B$7,Unitário!$B$27*Premissas!$B$14,0)</f>
        <v>6</v>
      </c>
      <c r="F14" s="12" t="n">
        <f aca="false">-Premissas!$B$47*Unitário!$B$22*D14</f>
        <v>-420</v>
      </c>
      <c r="G14" s="12" t="n">
        <f aca="false">IF($A14-(Premissas!$B$42)&gt;=1,INDEX($D$5:$D$94,$A14-(Premissas!$B$42)),0)*(Premissas!$B$47*Unitário!$B$22*(Premissas!$B$16+Premissas!$B$17)-Premissas!$B$48*Unitário!$B$24)</f>
        <v>-318.9173022</v>
      </c>
      <c r="H14" s="12" t="n">
        <f aca="false">IF($A14-(Premissas!$B$42+Premissas!$B$43)&gt;=1,INDEX($D$5:$D$94,$A14-(Premissas!$B$42+Premissas!$B$43)),0)*(Unitário!$B$21*Premissas!$B$39-(1-Premissas!$B$48)*Unitário!$B$24-(1-Premissas!$B$47)*Unitário!$B$21*Unitário!$B$22)</f>
        <v>0</v>
      </c>
      <c r="I14" s="12" t="n">
        <f aca="false">IF($A14-(Premissas!$B$44)&gt;=1,INDEX($E$5:$E$94,$A14-(Premissas!$B$44)),0)*(Premissas!$B$40-Unitário!$B$25)</f>
        <v>677.521419</v>
      </c>
      <c r="J14" s="12" t="n">
        <f aca="false">E14*(-Premissas!$B$47*Unitário!$B$22-(1-Premissas!$B$17)*Premissas!$B$21)</f>
        <v>-206.946</v>
      </c>
      <c r="K14" s="12" t="n">
        <f aca="false">IF($A14-(Premissas!$B$45)&gt;=1,INDEX($E$5:$E$94,$A14-(Premissas!$B$45)),0)*Premissas!$B$17*(-Premissas!$B$40-Premissas!$B$29+Premissas!$B$47*Unitário!$B$22)</f>
        <v>-67.146</v>
      </c>
      <c r="L14" s="12" t="n">
        <f aca="false">-Premissas!$B$30*(IF($A14-(Premissas!$B$42+Premissas!$B$43)&gt;=1,INDEX($D$5:$D$94,$A14-(Premissas!$B$42+Premissas!$B$43)),0)*Unitário!$B$21*Premissas!$B$39+IF($A14-(Premissas!$B$44)&gt;=1,INDEX($E$5:$E$94,$A14-(Premissas!$B$44)),0)*(1-Premissas!$B$17)*Premissas!$B$40)</f>
        <v>-0</v>
      </c>
      <c r="M14" s="12" t="n">
        <f aca="false">-Premissas!$B$31</f>
        <v>-0</v>
      </c>
      <c r="N14" s="12" t="n">
        <f aca="false">B14+C14+F14+G14+H14+I14+J14+K14+L14+M14</f>
        <v>-690.2878832</v>
      </c>
      <c r="O14" s="12" t="n">
        <f aca="false">O13+N14</f>
        <v>-5795.0222276</v>
      </c>
      <c r="P14" s="15" t="n">
        <f aca="false">IF(AND($A14&gt;$B$100,O14&gt;=0),1,0)</f>
        <v>0</v>
      </c>
    </row>
    <row r="15" customFormat="false" ht="15" hidden="false" customHeight="false" outlineLevel="0" collapsed="false">
      <c r="A15" s="15" t="n">
        <v>11</v>
      </c>
      <c r="B15" s="12" t="n">
        <f aca="false">IF($A15&lt;=Premissas!$B$7,-Premissas!$B$6,0)</f>
        <v>-300</v>
      </c>
      <c r="C15" s="12" t="n">
        <f aca="false">-(IF($A15&lt;=Premissas!$B$7,Unitário!$B$26*Premissas!$B$10,0)+(D15+E15)*Premissas!$B$11)</f>
        <v>-54.8</v>
      </c>
      <c r="D15" s="27" t="n">
        <f aca="false">IF($A15&lt;=Premissas!$B$7,Unitário!$B$27*Premissas!$B$13,0)</f>
        <v>14</v>
      </c>
      <c r="E15" s="27" t="n">
        <f aca="false">IF($A15&lt;=Premissas!$B$7,Unitário!$B$27*Premissas!$B$14,0)</f>
        <v>6</v>
      </c>
      <c r="F15" s="12" t="n">
        <f aca="false">-Premissas!$B$47*Unitário!$B$22*D15</f>
        <v>-420</v>
      </c>
      <c r="G15" s="12" t="n">
        <f aca="false">IF($A15-(Premissas!$B$42)&gt;=1,INDEX($D$5:$D$94,$A15-(Premissas!$B$42)),0)*(Premissas!$B$47*Unitário!$B$22*(Premissas!$B$16+Premissas!$B$17)-Premissas!$B$48*Unitário!$B$24)</f>
        <v>-318.9173022</v>
      </c>
      <c r="H15" s="12" t="n">
        <f aca="false">IF($A15-(Premissas!$B$42+Premissas!$B$43)&gt;=1,INDEX($D$5:$D$94,$A15-(Premissas!$B$42+Premissas!$B$43)),0)*(Unitário!$B$21*Premissas!$B$39-(1-Premissas!$B$48)*Unitário!$B$24-(1-Premissas!$B$47)*Unitário!$B$21*Unitário!$B$22)</f>
        <v>0</v>
      </c>
      <c r="I15" s="12" t="n">
        <f aca="false">IF($A15-(Premissas!$B$44)&gt;=1,INDEX($E$5:$E$94,$A15-(Premissas!$B$44)),0)*(Premissas!$B$40-Unitário!$B$25)</f>
        <v>677.521419</v>
      </c>
      <c r="J15" s="12" t="n">
        <f aca="false">E15*(-Premissas!$B$47*Unitário!$B$22-(1-Premissas!$B$17)*Premissas!$B$21)</f>
        <v>-206.946</v>
      </c>
      <c r="K15" s="12" t="n">
        <f aca="false">IF($A15-(Premissas!$B$45)&gt;=1,INDEX($E$5:$E$94,$A15-(Premissas!$B$45)),0)*Premissas!$B$17*(-Premissas!$B$40-Premissas!$B$29+Premissas!$B$47*Unitário!$B$22)</f>
        <v>-67.146</v>
      </c>
      <c r="L15" s="12" t="n">
        <f aca="false">-Premissas!$B$30*(IF($A15-(Premissas!$B$42+Premissas!$B$43)&gt;=1,INDEX($D$5:$D$94,$A15-(Premissas!$B$42+Premissas!$B$43)),0)*Unitário!$B$21*Premissas!$B$39+IF($A15-(Premissas!$B$44)&gt;=1,INDEX($E$5:$E$94,$A15-(Premissas!$B$44)),0)*(1-Premissas!$B$17)*Premissas!$B$40)</f>
        <v>-0</v>
      </c>
      <c r="M15" s="12" t="n">
        <f aca="false">-Premissas!$B$31</f>
        <v>-0</v>
      </c>
      <c r="N15" s="12" t="n">
        <f aca="false">B15+C15+F15+G15+H15+I15+J15+K15+L15+M15</f>
        <v>-690.2878832</v>
      </c>
      <c r="O15" s="12" t="n">
        <f aca="false">O14+N15</f>
        <v>-6485.3101108</v>
      </c>
      <c r="P15" s="15" t="n">
        <f aca="false">IF(AND($A15&gt;$B$100,O15&gt;=0),1,0)</f>
        <v>0</v>
      </c>
    </row>
    <row r="16" customFormat="false" ht="15" hidden="false" customHeight="false" outlineLevel="0" collapsed="false">
      <c r="A16" s="15" t="n">
        <v>12</v>
      </c>
      <c r="B16" s="12" t="n">
        <f aca="false">IF($A16&lt;=Premissas!$B$7,-Premissas!$B$6,0)</f>
        <v>-300</v>
      </c>
      <c r="C16" s="12" t="n">
        <f aca="false">-(IF($A16&lt;=Premissas!$B$7,Unitário!$B$26*Premissas!$B$10,0)+(D16+E16)*Premissas!$B$11)</f>
        <v>-54.8</v>
      </c>
      <c r="D16" s="27" t="n">
        <f aca="false">IF($A16&lt;=Premissas!$B$7,Unitário!$B$27*Premissas!$B$13,0)</f>
        <v>14</v>
      </c>
      <c r="E16" s="27" t="n">
        <f aca="false">IF($A16&lt;=Premissas!$B$7,Unitário!$B$27*Premissas!$B$14,0)</f>
        <v>6</v>
      </c>
      <c r="F16" s="12" t="n">
        <f aca="false">-Premissas!$B$47*Unitário!$B$22*D16</f>
        <v>-420</v>
      </c>
      <c r="G16" s="12" t="n">
        <f aca="false">IF($A16-(Premissas!$B$42)&gt;=1,INDEX($D$5:$D$94,$A16-(Premissas!$B$42)),0)*(Premissas!$B$47*Unitário!$B$22*(Premissas!$B$16+Premissas!$B$17)-Premissas!$B$48*Unitário!$B$24)</f>
        <v>-318.9173022</v>
      </c>
      <c r="H16" s="12" t="n">
        <f aca="false">IF($A16-(Premissas!$B$42+Premissas!$B$43)&gt;=1,INDEX($D$5:$D$94,$A16-(Premissas!$B$42+Premissas!$B$43)),0)*(Unitário!$B$21*Premissas!$B$39-(1-Premissas!$B$48)*Unitário!$B$24-(1-Premissas!$B$47)*Unitário!$B$21*Unitário!$B$22)</f>
        <v>0</v>
      </c>
      <c r="I16" s="12" t="n">
        <f aca="false">IF($A16-(Premissas!$B$44)&gt;=1,INDEX($E$5:$E$94,$A16-(Premissas!$B$44)),0)*(Premissas!$B$40-Unitário!$B$25)</f>
        <v>677.521419</v>
      </c>
      <c r="J16" s="12" t="n">
        <f aca="false">E16*(-Premissas!$B$47*Unitário!$B$22-(1-Premissas!$B$17)*Premissas!$B$21)</f>
        <v>-206.946</v>
      </c>
      <c r="K16" s="12" t="n">
        <f aca="false">IF($A16-(Premissas!$B$45)&gt;=1,INDEX($E$5:$E$94,$A16-(Premissas!$B$45)),0)*Premissas!$B$17*(-Premissas!$B$40-Premissas!$B$29+Premissas!$B$47*Unitário!$B$22)</f>
        <v>-67.146</v>
      </c>
      <c r="L16" s="12" t="n">
        <f aca="false">-Premissas!$B$30*(IF($A16-(Premissas!$B$42+Premissas!$B$43)&gt;=1,INDEX($D$5:$D$94,$A16-(Premissas!$B$42+Premissas!$B$43)),0)*Unitário!$B$21*Premissas!$B$39+IF($A16-(Premissas!$B$44)&gt;=1,INDEX($E$5:$E$94,$A16-(Premissas!$B$44)),0)*(1-Premissas!$B$17)*Premissas!$B$40)</f>
        <v>-0</v>
      </c>
      <c r="M16" s="12" t="n">
        <f aca="false">-Premissas!$B$31</f>
        <v>-0</v>
      </c>
      <c r="N16" s="12" t="n">
        <f aca="false">B16+C16+F16+G16+H16+I16+J16+K16+L16+M16</f>
        <v>-690.2878832</v>
      </c>
      <c r="O16" s="12" t="n">
        <f aca="false">O15+N16</f>
        <v>-7175.597994</v>
      </c>
      <c r="P16" s="15" t="n">
        <f aca="false">IF(AND($A16&gt;$B$100,O16&gt;=0),1,0)</f>
        <v>0</v>
      </c>
    </row>
    <row r="17" customFormat="false" ht="15" hidden="false" customHeight="false" outlineLevel="0" collapsed="false">
      <c r="A17" s="15" t="n">
        <v>13</v>
      </c>
      <c r="B17" s="12" t="n">
        <f aca="false">IF($A17&lt;=Premissas!$B$7,-Premissas!$B$6,0)</f>
        <v>-300</v>
      </c>
      <c r="C17" s="12" t="n">
        <f aca="false">-(IF($A17&lt;=Premissas!$B$7,Unitário!$B$26*Premissas!$B$10,0)+(D17+E17)*Premissas!$B$11)</f>
        <v>-54.8</v>
      </c>
      <c r="D17" s="27" t="n">
        <f aca="false">IF($A17&lt;=Premissas!$B$7,Unitário!$B$27*Premissas!$B$13,0)</f>
        <v>14</v>
      </c>
      <c r="E17" s="27" t="n">
        <f aca="false">IF($A17&lt;=Premissas!$B$7,Unitário!$B$27*Premissas!$B$14,0)</f>
        <v>6</v>
      </c>
      <c r="F17" s="12" t="n">
        <f aca="false">-Premissas!$B$47*Unitário!$B$22*D17</f>
        <v>-420</v>
      </c>
      <c r="G17" s="12" t="n">
        <f aca="false">IF($A17-(Premissas!$B$42)&gt;=1,INDEX($D$5:$D$94,$A17-(Premissas!$B$42)),0)*(Premissas!$B$47*Unitário!$B$22*(Premissas!$B$16+Premissas!$B$17)-Premissas!$B$48*Unitário!$B$24)</f>
        <v>-318.9173022</v>
      </c>
      <c r="H17" s="12" t="n">
        <f aca="false">IF($A17-(Premissas!$B$42+Premissas!$B$43)&gt;=1,INDEX($D$5:$D$94,$A17-(Premissas!$B$42+Premissas!$B$43)),0)*(Unitário!$B$21*Premissas!$B$39-(1-Premissas!$B$48)*Unitário!$B$24-(1-Premissas!$B$47)*Unitário!$B$21*Unitário!$B$22)</f>
        <v>0</v>
      </c>
      <c r="I17" s="12" t="n">
        <f aca="false">IF($A17-(Premissas!$B$44)&gt;=1,INDEX($E$5:$E$94,$A17-(Premissas!$B$44)),0)*(Premissas!$B$40-Unitário!$B$25)</f>
        <v>677.521419</v>
      </c>
      <c r="J17" s="12" t="n">
        <f aca="false">E17*(-Premissas!$B$47*Unitário!$B$22-(1-Premissas!$B$17)*Premissas!$B$21)</f>
        <v>-206.946</v>
      </c>
      <c r="K17" s="12" t="n">
        <f aca="false">IF($A17-(Premissas!$B$45)&gt;=1,INDEX($E$5:$E$94,$A17-(Premissas!$B$45)),0)*Premissas!$B$17*(-Premissas!$B$40-Premissas!$B$29+Premissas!$B$47*Unitário!$B$22)</f>
        <v>-67.146</v>
      </c>
      <c r="L17" s="12" t="n">
        <f aca="false">-Premissas!$B$30*(IF($A17-(Premissas!$B$42+Premissas!$B$43)&gt;=1,INDEX($D$5:$D$94,$A17-(Premissas!$B$42+Premissas!$B$43)),0)*Unitário!$B$21*Premissas!$B$39+IF($A17-(Premissas!$B$44)&gt;=1,INDEX($E$5:$E$94,$A17-(Premissas!$B$44)),0)*(1-Premissas!$B$17)*Premissas!$B$40)</f>
        <v>-0</v>
      </c>
      <c r="M17" s="12" t="n">
        <f aca="false">-Premissas!$B$31</f>
        <v>-0</v>
      </c>
      <c r="N17" s="12" t="n">
        <f aca="false">B17+C17+F17+G17+H17+I17+J17+K17+L17+M17</f>
        <v>-690.2878832</v>
      </c>
      <c r="O17" s="12" t="n">
        <f aca="false">O16+N17</f>
        <v>-7865.8858772</v>
      </c>
      <c r="P17" s="15" t="n">
        <f aca="false">IF(AND($A17&gt;$B$100,O17&gt;=0),1,0)</f>
        <v>0</v>
      </c>
    </row>
    <row r="18" customFormat="false" ht="15" hidden="false" customHeight="false" outlineLevel="0" collapsed="false">
      <c r="A18" s="15" t="n">
        <v>14</v>
      </c>
      <c r="B18" s="12" t="n">
        <f aca="false">IF($A18&lt;=Premissas!$B$7,-Premissas!$B$6,0)</f>
        <v>-300</v>
      </c>
      <c r="C18" s="12" t="n">
        <f aca="false">-(IF($A18&lt;=Premissas!$B$7,Unitário!$B$26*Premissas!$B$10,0)+(D18+E18)*Premissas!$B$11)</f>
        <v>-54.8</v>
      </c>
      <c r="D18" s="27" t="n">
        <f aca="false">IF($A18&lt;=Premissas!$B$7,Unitário!$B$27*Premissas!$B$13,0)</f>
        <v>14</v>
      </c>
      <c r="E18" s="27" t="n">
        <f aca="false">IF($A18&lt;=Premissas!$B$7,Unitário!$B$27*Premissas!$B$14,0)</f>
        <v>6</v>
      </c>
      <c r="F18" s="12" t="n">
        <f aca="false">-Premissas!$B$47*Unitário!$B$22*D18</f>
        <v>-420</v>
      </c>
      <c r="G18" s="12" t="n">
        <f aca="false">IF($A18-(Premissas!$B$42)&gt;=1,INDEX($D$5:$D$94,$A18-(Premissas!$B$42)),0)*(Premissas!$B$47*Unitário!$B$22*(Premissas!$B$16+Premissas!$B$17)-Premissas!$B$48*Unitário!$B$24)</f>
        <v>-318.9173022</v>
      </c>
      <c r="H18" s="12" t="n">
        <f aca="false">IF($A18-(Premissas!$B$42+Premissas!$B$43)&gt;=1,INDEX($D$5:$D$94,$A18-(Premissas!$B$42+Premissas!$B$43)),0)*(Unitário!$B$21*Premissas!$B$39-(1-Premissas!$B$48)*Unitário!$B$24-(1-Premissas!$B$47)*Unitário!$B$21*Unitário!$B$22)</f>
        <v>0</v>
      </c>
      <c r="I18" s="12" t="n">
        <f aca="false">IF($A18-(Premissas!$B$44)&gt;=1,INDEX($E$5:$E$94,$A18-(Premissas!$B$44)),0)*(Premissas!$B$40-Unitário!$B$25)</f>
        <v>677.521419</v>
      </c>
      <c r="J18" s="12" t="n">
        <f aca="false">E18*(-Premissas!$B$47*Unitário!$B$22-(1-Premissas!$B$17)*Premissas!$B$21)</f>
        <v>-206.946</v>
      </c>
      <c r="K18" s="12" t="n">
        <f aca="false">IF($A18-(Premissas!$B$45)&gt;=1,INDEX($E$5:$E$94,$A18-(Premissas!$B$45)),0)*Premissas!$B$17*(-Premissas!$B$40-Premissas!$B$29+Premissas!$B$47*Unitário!$B$22)</f>
        <v>-67.146</v>
      </c>
      <c r="L18" s="12" t="n">
        <f aca="false">-Premissas!$B$30*(IF($A18-(Premissas!$B$42+Premissas!$B$43)&gt;=1,INDEX($D$5:$D$94,$A18-(Premissas!$B$42+Premissas!$B$43)),0)*Unitário!$B$21*Premissas!$B$39+IF($A18-(Premissas!$B$44)&gt;=1,INDEX($E$5:$E$94,$A18-(Premissas!$B$44)),0)*(1-Premissas!$B$17)*Premissas!$B$40)</f>
        <v>-0</v>
      </c>
      <c r="M18" s="12" t="n">
        <f aca="false">-Premissas!$B$31</f>
        <v>-0</v>
      </c>
      <c r="N18" s="12" t="n">
        <f aca="false">B18+C18+F18+G18+H18+I18+J18+K18+L18+M18</f>
        <v>-690.2878832</v>
      </c>
      <c r="O18" s="12" t="n">
        <f aca="false">O17+N18</f>
        <v>-8556.1737604</v>
      </c>
      <c r="P18" s="15" t="n">
        <f aca="false">IF(AND($A18&gt;$B$100,O18&gt;=0),1,0)</f>
        <v>0</v>
      </c>
    </row>
    <row r="19" customFormat="false" ht="15" hidden="false" customHeight="false" outlineLevel="0" collapsed="false">
      <c r="A19" s="15" t="n">
        <v>15</v>
      </c>
      <c r="B19" s="12" t="n">
        <f aca="false">IF($A19&lt;=Premissas!$B$7,-Premissas!$B$6,0)</f>
        <v>-300</v>
      </c>
      <c r="C19" s="12" t="n">
        <f aca="false">-(IF($A19&lt;=Premissas!$B$7,Unitário!$B$26*Premissas!$B$10,0)+(D19+E19)*Premissas!$B$11)</f>
        <v>-54.8</v>
      </c>
      <c r="D19" s="27" t="n">
        <f aca="false">IF($A19&lt;=Premissas!$B$7,Unitário!$B$27*Premissas!$B$13,0)</f>
        <v>14</v>
      </c>
      <c r="E19" s="27" t="n">
        <f aca="false">IF($A19&lt;=Premissas!$B$7,Unitário!$B$27*Premissas!$B$14,0)</f>
        <v>6</v>
      </c>
      <c r="F19" s="12" t="n">
        <f aca="false">-Premissas!$B$47*Unitário!$B$22*D19</f>
        <v>-420</v>
      </c>
      <c r="G19" s="12" t="n">
        <f aca="false">IF($A19-(Premissas!$B$42)&gt;=1,INDEX($D$5:$D$94,$A19-(Premissas!$B$42)),0)*(Premissas!$B$47*Unitário!$B$22*(Premissas!$B$16+Premissas!$B$17)-Premissas!$B$48*Unitário!$B$24)</f>
        <v>-318.9173022</v>
      </c>
      <c r="H19" s="12" t="n">
        <f aca="false">IF($A19-(Premissas!$B$42+Premissas!$B$43)&gt;=1,INDEX($D$5:$D$94,$A19-(Premissas!$B$42+Premissas!$B$43)),0)*(Unitário!$B$21*Premissas!$B$39-(1-Premissas!$B$48)*Unitário!$B$24-(1-Premissas!$B$47)*Unitário!$B$21*Unitário!$B$22)</f>
        <v>0</v>
      </c>
      <c r="I19" s="12" t="n">
        <f aca="false">IF($A19-(Premissas!$B$44)&gt;=1,INDEX($E$5:$E$94,$A19-(Premissas!$B$44)),0)*(Premissas!$B$40-Unitário!$B$25)</f>
        <v>677.521419</v>
      </c>
      <c r="J19" s="12" t="n">
        <f aca="false">E19*(-Premissas!$B$47*Unitário!$B$22-(1-Premissas!$B$17)*Premissas!$B$21)</f>
        <v>-206.946</v>
      </c>
      <c r="K19" s="12" t="n">
        <f aca="false">IF($A19-(Premissas!$B$45)&gt;=1,INDEX($E$5:$E$94,$A19-(Premissas!$B$45)),0)*Premissas!$B$17*(-Premissas!$B$40-Premissas!$B$29+Premissas!$B$47*Unitário!$B$22)</f>
        <v>-67.146</v>
      </c>
      <c r="L19" s="12" t="n">
        <f aca="false">-Premissas!$B$30*(IF($A19-(Premissas!$B$42+Premissas!$B$43)&gt;=1,INDEX($D$5:$D$94,$A19-(Premissas!$B$42+Premissas!$B$43)),0)*Unitário!$B$21*Premissas!$B$39+IF($A19-(Premissas!$B$44)&gt;=1,INDEX($E$5:$E$94,$A19-(Premissas!$B$44)),0)*(1-Premissas!$B$17)*Premissas!$B$40)</f>
        <v>-0</v>
      </c>
      <c r="M19" s="12" t="n">
        <f aca="false">-Premissas!$B$31</f>
        <v>-0</v>
      </c>
      <c r="N19" s="12" t="n">
        <f aca="false">B19+C19+F19+G19+H19+I19+J19+K19+L19+M19</f>
        <v>-690.2878832</v>
      </c>
      <c r="O19" s="12" t="n">
        <f aca="false">O18+N19</f>
        <v>-9246.4616436</v>
      </c>
      <c r="P19" s="15" t="n">
        <f aca="false">IF(AND($A19&gt;$B$100,O19&gt;=0),1,0)</f>
        <v>0</v>
      </c>
    </row>
    <row r="20" customFormat="false" ht="15" hidden="false" customHeight="false" outlineLevel="0" collapsed="false">
      <c r="A20" s="15" t="n">
        <v>16</v>
      </c>
      <c r="B20" s="12" t="n">
        <f aca="false">IF($A20&lt;=Premissas!$B$7,-Premissas!$B$6,0)</f>
        <v>-300</v>
      </c>
      <c r="C20" s="12" t="n">
        <f aca="false">-(IF($A20&lt;=Premissas!$B$7,Unitário!$B$26*Premissas!$B$10,0)+(D20+E20)*Premissas!$B$11)</f>
        <v>-54.8</v>
      </c>
      <c r="D20" s="27" t="n">
        <f aca="false">IF($A20&lt;=Premissas!$B$7,Unitário!$B$27*Premissas!$B$13,0)</f>
        <v>14</v>
      </c>
      <c r="E20" s="27" t="n">
        <f aca="false">IF($A20&lt;=Premissas!$B$7,Unitário!$B$27*Premissas!$B$14,0)</f>
        <v>6</v>
      </c>
      <c r="F20" s="12" t="n">
        <f aca="false">-Premissas!$B$47*Unitário!$B$22*D20</f>
        <v>-420</v>
      </c>
      <c r="G20" s="12" t="n">
        <f aca="false">IF($A20-(Premissas!$B$42)&gt;=1,INDEX($D$5:$D$94,$A20-(Premissas!$B$42)),0)*(Premissas!$B$47*Unitário!$B$22*(Premissas!$B$16+Premissas!$B$17)-Premissas!$B$48*Unitário!$B$24)</f>
        <v>-318.9173022</v>
      </c>
      <c r="H20" s="12" t="n">
        <f aca="false">IF($A20-(Premissas!$B$42+Premissas!$B$43)&gt;=1,INDEX($D$5:$D$94,$A20-(Premissas!$B$42+Premissas!$B$43)),0)*(Unitário!$B$21*Premissas!$B$39-(1-Premissas!$B$48)*Unitário!$B$24-(1-Premissas!$B$47)*Unitário!$B$21*Unitário!$B$22)</f>
        <v>0</v>
      </c>
      <c r="I20" s="12" t="n">
        <f aca="false">IF($A20-(Premissas!$B$44)&gt;=1,INDEX($E$5:$E$94,$A20-(Premissas!$B$44)),0)*(Premissas!$B$40-Unitário!$B$25)</f>
        <v>677.521419</v>
      </c>
      <c r="J20" s="12" t="n">
        <f aca="false">E20*(-Premissas!$B$47*Unitário!$B$22-(1-Premissas!$B$17)*Premissas!$B$21)</f>
        <v>-206.946</v>
      </c>
      <c r="K20" s="12" t="n">
        <f aca="false">IF($A20-(Premissas!$B$45)&gt;=1,INDEX($E$5:$E$94,$A20-(Premissas!$B$45)),0)*Premissas!$B$17*(-Premissas!$B$40-Premissas!$B$29+Premissas!$B$47*Unitário!$B$22)</f>
        <v>-67.146</v>
      </c>
      <c r="L20" s="12" t="n">
        <f aca="false">-Premissas!$B$30*(IF($A20-(Premissas!$B$42+Premissas!$B$43)&gt;=1,INDEX($D$5:$D$94,$A20-(Premissas!$B$42+Premissas!$B$43)),0)*Unitário!$B$21*Premissas!$B$39+IF($A20-(Premissas!$B$44)&gt;=1,INDEX($E$5:$E$94,$A20-(Premissas!$B$44)),0)*(1-Premissas!$B$17)*Premissas!$B$40)</f>
        <v>-0</v>
      </c>
      <c r="M20" s="12" t="n">
        <f aca="false">-Premissas!$B$31</f>
        <v>-0</v>
      </c>
      <c r="N20" s="12" t="n">
        <f aca="false">B20+C20+F20+G20+H20+I20+J20+K20+L20+M20</f>
        <v>-690.2878832</v>
      </c>
      <c r="O20" s="12" t="n">
        <f aca="false">O19+N20</f>
        <v>-9936.7495268</v>
      </c>
      <c r="P20" s="15" t="n">
        <f aca="false">IF(AND($A20&gt;$B$100,O20&gt;=0),1,0)</f>
        <v>0</v>
      </c>
    </row>
    <row r="21" customFormat="false" ht="15" hidden="false" customHeight="false" outlineLevel="0" collapsed="false">
      <c r="A21" s="15" t="n">
        <v>17</v>
      </c>
      <c r="B21" s="12" t="n">
        <f aca="false">IF($A21&lt;=Premissas!$B$7,-Premissas!$B$6,0)</f>
        <v>-300</v>
      </c>
      <c r="C21" s="12" t="n">
        <f aca="false">-(IF($A21&lt;=Premissas!$B$7,Unitário!$B$26*Premissas!$B$10,0)+(D21+E21)*Premissas!$B$11)</f>
        <v>-54.8</v>
      </c>
      <c r="D21" s="27" t="n">
        <f aca="false">IF($A21&lt;=Premissas!$B$7,Unitário!$B$27*Premissas!$B$13,0)</f>
        <v>14</v>
      </c>
      <c r="E21" s="27" t="n">
        <f aca="false">IF($A21&lt;=Premissas!$B$7,Unitário!$B$27*Premissas!$B$14,0)</f>
        <v>6</v>
      </c>
      <c r="F21" s="12" t="n">
        <f aca="false">-Premissas!$B$47*Unitário!$B$22*D21</f>
        <v>-420</v>
      </c>
      <c r="G21" s="12" t="n">
        <f aca="false">IF($A21-(Premissas!$B$42)&gt;=1,INDEX($D$5:$D$94,$A21-(Premissas!$B$42)),0)*(Premissas!$B$47*Unitário!$B$22*(Premissas!$B$16+Premissas!$B$17)-Premissas!$B$48*Unitário!$B$24)</f>
        <v>-318.9173022</v>
      </c>
      <c r="H21" s="12" t="n">
        <f aca="false">IF($A21-(Premissas!$B$42+Premissas!$B$43)&gt;=1,INDEX($D$5:$D$94,$A21-(Premissas!$B$42+Premissas!$B$43)),0)*(Unitário!$B$21*Premissas!$B$39-(1-Premissas!$B$48)*Unitário!$B$24-(1-Premissas!$B$47)*Unitário!$B$21*Unitário!$B$22)</f>
        <v>1327.578</v>
      </c>
      <c r="I21" s="12" t="n">
        <f aca="false">IF($A21-(Premissas!$B$44)&gt;=1,INDEX($E$5:$E$94,$A21-(Premissas!$B$44)),0)*(Premissas!$B$40-Unitário!$B$25)</f>
        <v>677.521419</v>
      </c>
      <c r="J21" s="12" t="n">
        <f aca="false">E21*(-Premissas!$B$47*Unitário!$B$22-(1-Premissas!$B$17)*Premissas!$B$21)</f>
        <v>-206.946</v>
      </c>
      <c r="K21" s="12" t="n">
        <f aca="false">IF($A21-(Premissas!$B$45)&gt;=1,INDEX($E$5:$E$94,$A21-(Premissas!$B$45)),0)*Premissas!$B$17*(-Premissas!$B$40-Premissas!$B$29+Premissas!$B$47*Unitário!$B$22)</f>
        <v>-67.146</v>
      </c>
      <c r="L21" s="12" t="n">
        <f aca="false">-Premissas!$B$30*(IF($A21-(Premissas!$B$42+Premissas!$B$43)&gt;=1,INDEX($D$5:$D$94,$A21-(Premissas!$B$42+Premissas!$B$43)),0)*Unitário!$B$21*Premissas!$B$39+IF($A21-(Premissas!$B$44)&gt;=1,INDEX($E$5:$E$94,$A21-(Premissas!$B$44)),0)*(1-Premissas!$B$17)*Premissas!$B$40)</f>
        <v>-0</v>
      </c>
      <c r="M21" s="12" t="n">
        <f aca="false">-Premissas!$B$31</f>
        <v>-0</v>
      </c>
      <c r="N21" s="12" t="n">
        <f aca="false">B21+C21+F21+G21+H21+I21+J21+K21+L21+M21</f>
        <v>637.2901168</v>
      </c>
      <c r="O21" s="12" t="n">
        <f aca="false">O20+N21</f>
        <v>-9299.45941</v>
      </c>
      <c r="P21" s="15" t="n">
        <f aca="false">IF(AND($A21&gt;$B$100,O21&gt;=0),1,0)</f>
        <v>0</v>
      </c>
    </row>
    <row r="22" customFormat="false" ht="15" hidden="false" customHeight="false" outlineLevel="0" collapsed="false">
      <c r="A22" s="15" t="n">
        <v>18</v>
      </c>
      <c r="B22" s="12" t="n">
        <f aca="false">IF($A22&lt;=Premissas!$B$7,-Premissas!$B$6,0)</f>
        <v>-300</v>
      </c>
      <c r="C22" s="12" t="n">
        <f aca="false">-(IF($A22&lt;=Premissas!$B$7,Unitário!$B$26*Premissas!$B$10,0)+(D22+E22)*Premissas!$B$11)</f>
        <v>-54.8</v>
      </c>
      <c r="D22" s="27" t="n">
        <f aca="false">IF($A22&lt;=Premissas!$B$7,Unitário!$B$27*Premissas!$B$13,0)</f>
        <v>14</v>
      </c>
      <c r="E22" s="27" t="n">
        <f aca="false">IF($A22&lt;=Premissas!$B$7,Unitário!$B$27*Premissas!$B$14,0)</f>
        <v>6</v>
      </c>
      <c r="F22" s="12" t="n">
        <f aca="false">-Premissas!$B$47*Unitário!$B$22*D22</f>
        <v>-420</v>
      </c>
      <c r="G22" s="12" t="n">
        <f aca="false">IF($A22-(Premissas!$B$42)&gt;=1,INDEX($D$5:$D$94,$A22-(Premissas!$B$42)),0)*(Premissas!$B$47*Unitário!$B$22*(Premissas!$B$16+Premissas!$B$17)-Premissas!$B$48*Unitário!$B$24)</f>
        <v>-318.9173022</v>
      </c>
      <c r="H22" s="12" t="n">
        <f aca="false">IF($A22-(Premissas!$B$42+Premissas!$B$43)&gt;=1,INDEX($D$5:$D$94,$A22-(Premissas!$B$42+Premissas!$B$43)),0)*(Unitário!$B$21*Premissas!$B$39-(1-Premissas!$B$48)*Unitário!$B$24-(1-Premissas!$B$47)*Unitário!$B$21*Unitário!$B$22)</f>
        <v>1327.578</v>
      </c>
      <c r="I22" s="12" t="n">
        <f aca="false">IF($A22-(Premissas!$B$44)&gt;=1,INDEX($E$5:$E$94,$A22-(Premissas!$B$44)),0)*(Premissas!$B$40-Unitário!$B$25)</f>
        <v>677.521419</v>
      </c>
      <c r="J22" s="12" t="n">
        <f aca="false">E22*(-Premissas!$B$47*Unitário!$B$22-(1-Premissas!$B$17)*Premissas!$B$21)</f>
        <v>-206.946</v>
      </c>
      <c r="K22" s="12" t="n">
        <f aca="false">IF($A22-(Premissas!$B$45)&gt;=1,INDEX($E$5:$E$94,$A22-(Premissas!$B$45)),0)*Premissas!$B$17*(-Premissas!$B$40-Premissas!$B$29+Premissas!$B$47*Unitário!$B$22)</f>
        <v>-67.146</v>
      </c>
      <c r="L22" s="12" t="n">
        <f aca="false">-Premissas!$B$30*(IF($A22-(Premissas!$B$42+Premissas!$B$43)&gt;=1,INDEX($D$5:$D$94,$A22-(Premissas!$B$42+Premissas!$B$43)),0)*Unitário!$B$21*Premissas!$B$39+IF($A22-(Premissas!$B$44)&gt;=1,INDEX($E$5:$E$94,$A22-(Premissas!$B$44)),0)*(1-Premissas!$B$17)*Premissas!$B$40)</f>
        <v>-0</v>
      </c>
      <c r="M22" s="12" t="n">
        <f aca="false">-Premissas!$B$31</f>
        <v>-0</v>
      </c>
      <c r="N22" s="12" t="n">
        <f aca="false">B22+C22+F22+G22+H22+I22+J22+K22+L22+M22</f>
        <v>637.2901168</v>
      </c>
      <c r="O22" s="12" t="n">
        <f aca="false">O21+N22</f>
        <v>-8662.1692932</v>
      </c>
      <c r="P22" s="15" t="n">
        <f aca="false">IF(AND($A22&gt;$B$100,O22&gt;=0),1,0)</f>
        <v>0</v>
      </c>
    </row>
    <row r="23" customFormat="false" ht="15" hidden="false" customHeight="false" outlineLevel="0" collapsed="false">
      <c r="A23" s="15" t="n">
        <v>19</v>
      </c>
      <c r="B23" s="12" t="n">
        <f aca="false">IF($A23&lt;=Premissas!$B$7,-Premissas!$B$6,0)</f>
        <v>-300</v>
      </c>
      <c r="C23" s="12" t="n">
        <f aca="false">-(IF($A23&lt;=Premissas!$B$7,Unitário!$B$26*Premissas!$B$10,0)+(D23+E23)*Premissas!$B$11)</f>
        <v>-54.8</v>
      </c>
      <c r="D23" s="27" t="n">
        <f aca="false">IF($A23&lt;=Premissas!$B$7,Unitário!$B$27*Premissas!$B$13,0)</f>
        <v>14</v>
      </c>
      <c r="E23" s="27" t="n">
        <f aca="false">IF($A23&lt;=Premissas!$B$7,Unitário!$B$27*Premissas!$B$14,0)</f>
        <v>6</v>
      </c>
      <c r="F23" s="12" t="n">
        <f aca="false">-Premissas!$B$47*Unitário!$B$22*D23</f>
        <v>-420</v>
      </c>
      <c r="G23" s="12" t="n">
        <f aca="false">IF($A23-(Premissas!$B$42)&gt;=1,INDEX($D$5:$D$94,$A23-(Premissas!$B$42)),0)*(Premissas!$B$47*Unitário!$B$22*(Premissas!$B$16+Premissas!$B$17)-Premissas!$B$48*Unitário!$B$24)</f>
        <v>-318.9173022</v>
      </c>
      <c r="H23" s="12" t="n">
        <f aca="false">IF($A23-(Premissas!$B$42+Premissas!$B$43)&gt;=1,INDEX($D$5:$D$94,$A23-(Premissas!$B$42+Premissas!$B$43)),0)*(Unitário!$B$21*Premissas!$B$39-(1-Premissas!$B$48)*Unitário!$B$24-(1-Premissas!$B$47)*Unitário!$B$21*Unitário!$B$22)</f>
        <v>1327.578</v>
      </c>
      <c r="I23" s="12" t="n">
        <f aca="false">IF($A23-(Premissas!$B$44)&gt;=1,INDEX($E$5:$E$94,$A23-(Premissas!$B$44)),0)*(Premissas!$B$40-Unitário!$B$25)</f>
        <v>677.521419</v>
      </c>
      <c r="J23" s="12" t="n">
        <f aca="false">E23*(-Premissas!$B$47*Unitário!$B$22-(1-Premissas!$B$17)*Premissas!$B$21)</f>
        <v>-206.946</v>
      </c>
      <c r="K23" s="12" t="n">
        <f aca="false">IF($A23-(Premissas!$B$45)&gt;=1,INDEX($E$5:$E$94,$A23-(Premissas!$B$45)),0)*Premissas!$B$17*(-Premissas!$B$40-Premissas!$B$29+Premissas!$B$47*Unitário!$B$22)</f>
        <v>-67.146</v>
      </c>
      <c r="L23" s="12" t="n">
        <f aca="false">-Premissas!$B$30*(IF($A23-(Premissas!$B$42+Premissas!$B$43)&gt;=1,INDEX($D$5:$D$94,$A23-(Premissas!$B$42+Premissas!$B$43)),0)*Unitário!$B$21*Premissas!$B$39+IF($A23-(Premissas!$B$44)&gt;=1,INDEX($E$5:$E$94,$A23-(Premissas!$B$44)),0)*(1-Premissas!$B$17)*Premissas!$B$40)</f>
        <v>-0</v>
      </c>
      <c r="M23" s="12" t="n">
        <f aca="false">-Premissas!$B$31</f>
        <v>-0</v>
      </c>
      <c r="N23" s="12" t="n">
        <f aca="false">B23+C23+F23+G23+H23+I23+J23+K23+L23+M23</f>
        <v>637.2901168</v>
      </c>
      <c r="O23" s="12" t="n">
        <f aca="false">O22+N23</f>
        <v>-8024.8791764</v>
      </c>
      <c r="P23" s="15" t="n">
        <f aca="false">IF(AND($A23&gt;$B$100,O23&gt;=0),1,0)</f>
        <v>0</v>
      </c>
    </row>
    <row r="24" customFormat="false" ht="15" hidden="false" customHeight="false" outlineLevel="0" collapsed="false">
      <c r="A24" s="15" t="n">
        <v>20</v>
      </c>
      <c r="B24" s="12" t="n">
        <f aca="false">IF($A24&lt;=Premissas!$B$7,-Premissas!$B$6,0)</f>
        <v>-300</v>
      </c>
      <c r="C24" s="12" t="n">
        <f aca="false">-(IF($A24&lt;=Premissas!$B$7,Unitário!$B$26*Premissas!$B$10,0)+(D24+E24)*Premissas!$B$11)</f>
        <v>-54.8</v>
      </c>
      <c r="D24" s="27" t="n">
        <f aca="false">IF($A24&lt;=Premissas!$B$7,Unitário!$B$27*Premissas!$B$13,0)</f>
        <v>14</v>
      </c>
      <c r="E24" s="27" t="n">
        <f aca="false">IF($A24&lt;=Premissas!$B$7,Unitário!$B$27*Premissas!$B$14,0)</f>
        <v>6</v>
      </c>
      <c r="F24" s="12" t="n">
        <f aca="false">-Premissas!$B$47*Unitário!$B$22*D24</f>
        <v>-420</v>
      </c>
      <c r="G24" s="12" t="n">
        <f aca="false">IF($A24-(Premissas!$B$42)&gt;=1,INDEX($D$5:$D$94,$A24-(Premissas!$B$42)),0)*(Premissas!$B$47*Unitário!$B$22*(Premissas!$B$16+Premissas!$B$17)-Premissas!$B$48*Unitário!$B$24)</f>
        <v>-318.9173022</v>
      </c>
      <c r="H24" s="12" t="n">
        <f aca="false">IF($A24-(Premissas!$B$42+Premissas!$B$43)&gt;=1,INDEX($D$5:$D$94,$A24-(Premissas!$B$42+Premissas!$B$43)),0)*(Unitário!$B$21*Premissas!$B$39-(1-Premissas!$B$48)*Unitário!$B$24-(1-Premissas!$B$47)*Unitário!$B$21*Unitário!$B$22)</f>
        <v>1327.578</v>
      </c>
      <c r="I24" s="12" t="n">
        <f aca="false">IF($A24-(Premissas!$B$44)&gt;=1,INDEX($E$5:$E$94,$A24-(Premissas!$B$44)),0)*(Premissas!$B$40-Unitário!$B$25)</f>
        <v>677.521419</v>
      </c>
      <c r="J24" s="12" t="n">
        <f aca="false">E24*(-Premissas!$B$47*Unitário!$B$22-(1-Premissas!$B$17)*Premissas!$B$21)</f>
        <v>-206.946</v>
      </c>
      <c r="K24" s="12" t="n">
        <f aca="false">IF($A24-(Premissas!$B$45)&gt;=1,INDEX($E$5:$E$94,$A24-(Premissas!$B$45)),0)*Premissas!$B$17*(-Premissas!$B$40-Premissas!$B$29+Premissas!$B$47*Unitário!$B$22)</f>
        <v>-67.146</v>
      </c>
      <c r="L24" s="12" t="n">
        <f aca="false">-Premissas!$B$30*(IF($A24-(Premissas!$B$42+Premissas!$B$43)&gt;=1,INDEX($D$5:$D$94,$A24-(Premissas!$B$42+Premissas!$B$43)),0)*Unitário!$B$21*Premissas!$B$39+IF($A24-(Premissas!$B$44)&gt;=1,INDEX($E$5:$E$94,$A24-(Premissas!$B$44)),0)*(1-Premissas!$B$17)*Premissas!$B$40)</f>
        <v>-0</v>
      </c>
      <c r="M24" s="12" t="n">
        <f aca="false">-Premissas!$B$31</f>
        <v>-0</v>
      </c>
      <c r="N24" s="12" t="n">
        <f aca="false">B24+C24+F24+G24+H24+I24+J24+K24+L24+M24</f>
        <v>637.2901168</v>
      </c>
      <c r="O24" s="12" t="n">
        <f aca="false">O23+N24</f>
        <v>-7387.5890596</v>
      </c>
      <c r="P24" s="15" t="n">
        <f aca="false">IF(AND($A24&gt;$B$100,O24&gt;=0),1,0)</f>
        <v>0</v>
      </c>
    </row>
    <row r="25" customFormat="false" ht="15" hidden="false" customHeight="false" outlineLevel="0" collapsed="false">
      <c r="A25" s="15" t="n">
        <v>21</v>
      </c>
      <c r="B25" s="12" t="n">
        <f aca="false">IF($A25&lt;=Premissas!$B$7,-Premissas!$B$6,0)</f>
        <v>-300</v>
      </c>
      <c r="C25" s="12" t="n">
        <f aca="false">-(IF($A25&lt;=Premissas!$B$7,Unitário!$B$26*Premissas!$B$10,0)+(D25+E25)*Premissas!$B$11)</f>
        <v>-54.8</v>
      </c>
      <c r="D25" s="27" t="n">
        <f aca="false">IF($A25&lt;=Premissas!$B$7,Unitário!$B$27*Premissas!$B$13,0)</f>
        <v>14</v>
      </c>
      <c r="E25" s="27" t="n">
        <f aca="false">IF($A25&lt;=Premissas!$B$7,Unitário!$B$27*Premissas!$B$14,0)</f>
        <v>6</v>
      </c>
      <c r="F25" s="12" t="n">
        <f aca="false">-Premissas!$B$47*Unitário!$B$22*D25</f>
        <v>-420</v>
      </c>
      <c r="G25" s="12" t="n">
        <f aca="false">IF($A25-(Premissas!$B$42)&gt;=1,INDEX($D$5:$D$94,$A25-(Premissas!$B$42)),0)*(Premissas!$B$47*Unitário!$B$22*(Premissas!$B$16+Premissas!$B$17)-Premissas!$B$48*Unitário!$B$24)</f>
        <v>-318.9173022</v>
      </c>
      <c r="H25" s="12" t="n">
        <f aca="false">IF($A25-(Premissas!$B$42+Premissas!$B$43)&gt;=1,INDEX($D$5:$D$94,$A25-(Premissas!$B$42+Premissas!$B$43)),0)*(Unitário!$B$21*Premissas!$B$39-(1-Premissas!$B$48)*Unitário!$B$24-(1-Premissas!$B$47)*Unitário!$B$21*Unitário!$B$22)</f>
        <v>1327.578</v>
      </c>
      <c r="I25" s="12" t="n">
        <f aca="false">IF($A25-(Premissas!$B$44)&gt;=1,INDEX($E$5:$E$94,$A25-(Premissas!$B$44)),0)*(Premissas!$B$40-Unitário!$B$25)</f>
        <v>677.521419</v>
      </c>
      <c r="J25" s="12" t="n">
        <f aca="false">E25*(-Premissas!$B$47*Unitário!$B$22-(1-Premissas!$B$17)*Premissas!$B$21)</f>
        <v>-206.946</v>
      </c>
      <c r="K25" s="12" t="n">
        <f aca="false">IF($A25-(Premissas!$B$45)&gt;=1,INDEX($E$5:$E$94,$A25-(Premissas!$B$45)),0)*Premissas!$B$17*(-Premissas!$B$40-Premissas!$B$29+Premissas!$B$47*Unitário!$B$22)</f>
        <v>-67.146</v>
      </c>
      <c r="L25" s="12" t="n">
        <f aca="false">-Premissas!$B$30*(IF($A25-(Premissas!$B$42+Premissas!$B$43)&gt;=1,INDEX($D$5:$D$94,$A25-(Premissas!$B$42+Premissas!$B$43)),0)*Unitário!$B$21*Premissas!$B$39+IF($A25-(Premissas!$B$44)&gt;=1,INDEX($E$5:$E$94,$A25-(Premissas!$B$44)),0)*(1-Premissas!$B$17)*Premissas!$B$40)</f>
        <v>-0</v>
      </c>
      <c r="M25" s="12" t="n">
        <f aca="false">-Premissas!$B$31</f>
        <v>-0</v>
      </c>
      <c r="N25" s="12" t="n">
        <f aca="false">B25+C25+F25+G25+H25+I25+J25+K25+L25+M25</f>
        <v>637.2901168</v>
      </c>
      <c r="O25" s="12" t="n">
        <f aca="false">O24+N25</f>
        <v>-6750.2989428</v>
      </c>
      <c r="P25" s="15" t="n">
        <f aca="false">IF(AND($A25&gt;$B$100,O25&gt;=0),1,0)</f>
        <v>0</v>
      </c>
    </row>
    <row r="26" customFormat="false" ht="15" hidden="false" customHeight="false" outlineLevel="0" collapsed="false">
      <c r="A26" s="15" t="n">
        <v>22</v>
      </c>
      <c r="B26" s="12" t="n">
        <f aca="false">IF($A26&lt;=Premissas!$B$7,-Premissas!$B$6,0)</f>
        <v>-300</v>
      </c>
      <c r="C26" s="12" t="n">
        <f aca="false">-(IF($A26&lt;=Premissas!$B$7,Unitário!$B$26*Premissas!$B$10,0)+(D26+E26)*Premissas!$B$11)</f>
        <v>-54.8</v>
      </c>
      <c r="D26" s="27" t="n">
        <f aca="false">IF($A26&lt;=Premissas!$B$7,Unitário!$B$27*Premissas!$B$13,0)</f>
        <v>14</v>
      </c>
      <c r="E26" s="27" t="n">
        <f aca="false">IF($A26&lt;=Premissas!$B$7,Unitário!$B$27*Premissas!$B$14,0)</f>
        <v>6</v>
      </c>
      <c r="F26" s="12" t="n">
        <f aca="false">-Premissas!$B$47*Unitário!$B$22*D26</f>
        <v>-420</v>
      </c>
      <c r="G26" s="12" t="n">
        <f aca="false">IF($A26-(Premissas!$B$42)&gt;=1,INDEX($D$5:$D$94,$A26-(Premissas!$B$42)),0)*(Premissas!$B$47*Unitário!$B$22*(Premissas!$B$16+Premissas!$B$17)-Premissas!$B$48*Unitário!$B$24)</f>
        <v>-318.9173022</v>
      </c>
      <c r="H26" s="12" t="n">
        <f aca="false">IF($A26-(Premissas!$B$42+Premissas!$B$43)&gt;=1,INDEX($D$5:$D$94,$A26-(Premissas!$B$42+Premissas!$B$43)),0)*(Unitário!$B$21*Premissas!$B$39-(1-Premissas!$B$48)*Unitário!$B$24-(1-Premissas!$B$47)*Unitário!$B$21*Unitário!$B$22)</f>
        <v>1327.578</v>
      </c>
      <c r="I26" s="12" t="n">
        <f aca="false">IF($A26-(Premissas!$B$44)&gt;=1,INDEX($E$5:$E$94,$A26-(Premissas!$B$44)),0)*(Premissas!$B$40-Unitário!$B$25)</f>
        <v>677.521419</v>
      </c>
      <c r="J26" s="12" t="n">
        <f aca="false">E26*(-Premissas!$B$47*Unitário!$B$22-(1-Premissas!$B$17)*Premissas!$B$21)</f>
        <v>-206.946</v>
      </c>
      <c r="K26" s="12" t="n">
        <f aca="false">IF($A26-(Premissas!$B$45)&gt;=1,INDEX($E$5:$E$94,$A26-(Premissas!$B$45)),0)*Premissas!$B$17*(-Premissas!$B$40-Premissas!$B$29+Premissas!$B$47*Unitário!$B$22)</f>
        <v>-67.146</v>
      </c>
      <c r="L26" s="12" t="n">
        <f aca="false">-Premissas!$B$30*(IF($A26-(Premissas!$B$42+Premissas!$B$43)&gt;=1,INDEX($D$5:$D$94,$A26-(Premissas!$B$42+Premissas!$B$43)),0)*Unitário!$B$21*Premissas!$B$39+IF($A26-(Premissas!$B$44)&gt;=1,INDEX($E$5:$E$94,$A26-(Premissas!$B$44)),0)*(1-Premissas!$B$17)*Premissas!$B$40)</f>
        <v>-0</v>
      </c>
      <c r="M26" s="12" t="n">
        <f aca="false">-Premissas!$B$31</f>
        <v>-0</v>
      </c>
      <c r="N26" s="12" t="n">
        <f aca="false">B26+C26+F26+G26+H26+I26+J26+K26+L26+M26</f>
        <v>637.2901168</v>
      </c>
      <c r="O26" s="12" t="n">
        <f aca="false">O25+N26</f>
        <v>-6113.008826</v>
      </c>
      <c r="P26" s="15" t="n">
        <f aca="false">IF(AND($A26&gt;$B$100,O26&gt;=0),1,0)</f>
        <v>0</v>
      </c>
    </row>
    <row r="27" customFormat="false" ht="15" hidden="false" customHeight="false" outlineLevel="0" collapsed="false">
      <c r="A27" s="15" t="n">
        <v>23</v>
      </c>
      <c r="B27" s="12" t="n">
        <f aca="false">IF($A27&lt;=Premissas!$B$7,-Premissas!$B$6,0)</f>
        <v>-300</v>
      </c>
      <c r="C27" s="12" t="n">
        <f aca="false">-(IF($A27&lt;=Premissas!$B$7,Unitário!$B$26*Premissas!$B$10,0)+(D27+E27)*Premissas!$B$11)</f>
        <v>-54.8</v>
      </c>
      <c r="D27" s="27" t="n">
        <f aca="false">IF($A27&lt;=Premissas!$B$7,Unitário!$B$27*Premissas!$B$13,0)</f>
        <v>14</v>
      </c>
      <c r="E27" s="27" t="n">
        <f aca="false">IF($A27&lt;=Premissas!$B$7,Unitário!$B$27*Premissas!$B$14,0)</f>
        <v>6</v>
      </c>
      <c r="F27" s="12" t="n">
        <f aca="false">-Premissas!$B$47*Unitário!$B$22*D27</f>
        <v>-420</v>
      </c>
      <c r="G27" s="12" t="n">
        <f aca="false">IF($A27-(Premissas!$B$42)&gt;=1,INDEX($D$5:$D$94,$A27-(Premissas!$B$42)),0)*(Premissas!$B$47*Unitário!$B$22*(Premissas!$B$16+Premissas!$B$17)-Premissas!$B$48*Unitário!$B$24)</f>
        <v>-318.9173022</v>
      </c>
      <c r="H27" s="12" t="n">
        <f aca="false">IF($A27-(Premissas!$B$42+Premissas!$B$43)&gt;=1,INDEX($D$5:$D$94,$A27-(Premissas!$B$42+Premissas!$B$43)),0)*(Unitário!$B$21*Premissas!$B$39-(1-Premissas!$B$48)*Unitário!$B$24-(1-Premissas!$B$47)*Unitário!$B$21*Unitário!$B$22)</f>
        <v>1327.578</v>
      </c>
      <c r="I27" s="12" t="n">
        <f aca="false">IF($A27-(Premissas!$B$44)&gt;=1,INDEX($E$5:$E$94,$A27-(Premissas!$B$44)),0)*(Premissas!$B$40-Unitário!$B$25)</f>
        <v>677.521419</v>
      </c>
      <c r="J27" s="12" t="n">
        <f aca="false">E27*(-Premissas!$B$47*Unitário!$B$22-(1-Premissas!$B$17)*Premissas!$B$21)</f>
        <v>-206.946</v>
      </c>
      <c r="K27" s="12" t="n">
        <f aca="false">IF($A27-(Premissas!$B$45)&gt;=1,INDEX($E$5:$E$94,$A27-(Premissas!$B$45)),0)*Premissas!$B$17*(-Premissas!$B$40-Premissas!$B$29+Premissas!$B$47*Unitário!$B$22)</f>
        <v>-67.146</v>
      </c>
      <c r="L27" s="12" t="n">
        <f aca="false">-Premissas!$B$30*(IF($A27-(Premissas!$B$42+Premissas!$B$43)&gt;=1,INDEX($D$5:$D$94,$A27-(Premissas!$B$42+Premissas!$B$43)),0)*Unitário!$B$21*Premissas!$B$39+IF($A27-(Premissas!$B$44)&gt;=1,INDEX($E$5:$E$94,$A27-(Premissas!$B$44)),0)*(1-Premissas!$B$17)*Premissas!$B$40)</f>
        <v>-0</v>
      </c>
      <c r="M27" s="12" t="n">
        <f aca="false">-Premissas!$B$31</f>
        <v>-0</v>
      </c>
      <c r="N27" s="12" t="n">
        <f aca="false">B27+C27+F27+G27+H27+I27+J27+K27+L27+M27</f>
        <v>637.2901168</v>
      </c>
      <c r="O27" s="12" t="n">
        <f aca="false">O26+N27</f>
        <v>-5475.7187092</v>
      </c>
      <c r="P27" s="15" t="n">
        <f aca="false">IF(AND($A27&gt;$B$100,O27&gt;=0),1,0)</f>
        <v>0</v>
      </c>
    </row>
    <row r="28" customFormat="false" ht="15" hidden="false" customHeight="false" outlineLevel="0" collapsed="false">
      <c r="A28" s="15" t="n">
        <v>24</v>
      </c>
      <c r="B28" s="12" t="n">
        <f aca="false">IF($A28&lt;=Premissas!$B$7,-Premissas!$B$6,0)</f>
        <v>-300</v>
      </c>
      <c r="C28" s="12" t="n">
        <f aca="false">-(IF($A28&lt;=Premissas!$B$7,Unitário!$B$26*Premissas!$B$10,0)+(D28+E28)*Premissas!$B$11)</f>
        <v>-54.8</v>
      </c>
      <c r="D28" s="27" t="n">
        <f aca="false">IF($A28&lt;=Premissas!$B$7,Unitário!$B$27*Premissas!$B$13,0)</f>
        <v>14</v>
      </c>
      <c r="E28" s="27" t="n">
        <f aca="false">IF($A28&lt;=Premissas!$B$7,Unitário!$B$27*Premissas!$B$14,0)</f>
        <v>6</v>
      </c>
      <c r="F28" s="12" t="n">
        <f aca="false">-Premissas!$B$47*Unitário!$B$22*D28</f>
        <v>-420</v>
      </c>
      <c r="G28" s="12" t="n">
        <f aca="false">IF($A28-(Premissas!$B$42)&gt;=1,INDEX($D$5:$D$94,$A28-(Premissas!$B$42)),0)*(Premissas!$B$47*Unitário!$B$22*(Premissas!$B$16+Premissas!$B$17)-Premissas!$B$48*Unitário!$B$24)</f>
        <v>-318.9173022</v>
      </c>
      <c r="H28" s="12" t="n">
        <f aca="false">IF($A28-(Premissas!$B$42+Premissas!$B$43)&gt;=1,INDEX($D$5:$D$94,$A28-(Premissas!$B$42+Premissas!$B$43)),0)*(Unitário!$B$21*Premissas!$B$39-(1-Premissas!$B$48)*Unitário!$B$24-(1-Premissas!$B$47)*Unitário!$B$21*Unitário!$B$22)</f>
        <v>1327.578</v>
      </c>
      <c r="I28" s="12" t="n">
        <f aca="false">IF($A28-(Premissas!$B$44)&gt;=1,INDEX($E$5:$E$94,$A28-(Premissas!$B$44)),0)*(Premissas!$B$40-Unitário!$B$25)</f>
        <v>677.521419</v>
      </c>
      <c r="J28" s="12" t="n">
        <f aca="false">E28*(-Premissas!$B$47*Unitário!$B$22-(1-Premissas!$B$17)*Premissas!$B$21)</f>
        <v>-206.946</v>
      </c>
      <c r="K28" s="12" t="n">
        <f aca="false">IF($A28-(Premissas!$B$45)&gt;=1,INDEX($E$5:$E$94,$A28-(Premissas!$B$45)),0)*Premissas!$B$17*(-Premissas!$B$40-Premissas!$B$29+Premissas!$B$47*Unitário!$B$22)</f>
        <v>-67.146</v>
      </c>
      <c r="L28" s="12" t="n">
        <f aca="false">-Premissas!$B$30*(IF($A28-(Premissas!$B$42+Premissas!$B$43)&gt;=1,INDEX($D$5:$D$94,$A28-(Premissas!$B$42+Premissas!$B$43)),0)*Unitário!$B$21*Premissas!$B$39+IF($A28-(Premissas!$B$44)&gt;=1,INDEX($E$5:$E$94,$A28-(Premissas!$B$44)),0)*(1-Premissas!$B$17)*Premissas!$B$40)</f>
        <v>-0</v>
      </c>
      <c r="M28" s="12" t="n">
        <f aca="false">-Premissas!$B$31</f>
        <v>-0</v>
      </c>
      <c r="N28" s="12" t="n">
        <f aca="false">B28+C28+F28+G28+H28+I28+J28+K28+L28+M28</f>
        <v>637.2901168</v>
      </c>
      <c r="O28" s="12" t="n">
        <f aca="false">O27+N28</f>
        <v>-4838.4285924</v>
      </c>
      <c r="P28" s="15" t="n">
        <f aca="false">IF(AND($A28&gt;$B$100,O28&gt;=0),1,0)</f>
        <v>0</v>
      </c>
    </row>
    <row r="29" customFormat="false" ht="15" hidden="false" customHeight="false" outlineLevel="0" collapsed="false">
      <c r="A29" s="15" t="n">
        <v>25</v>
      </c>
      <c r="B29" s="12" t="n">
        <f aca="false">IF($A29&lt;=Premissas!$B$7,-Premissas!$B$6,0)</f>
        <v>-300</v>
      </c>
      <c r="C29" s="12" t="n">
        <f aca="false">-(IF($A29&lt;=Premissas!$B$7,Unitário!$B$26*Premissas!$B$10,0)+(D29+E29)*Premissas!$B$11)</f>
        <v>-54.8</v>
      </c>
      <c r="D29" s="27" t="n">
        <f aca="false">IF($A29&lt;=Premissas!$B$7,Unitário!$B$27*Premissas!$B$13,0)</f>
        <v>14</v>
      </c>
      <c r="E29" s="27" t="n">
        <f aca="false">IF($A29&lt;=Premissas!$B$7,Unitário!$B$27*Premissas!$B$14,0)</f>
        <v>6</v>
      </c>
      <c r="F29" s="12" t="n">
        <f aca="false">-Premissas!$B$47*Unitário!$B$22*D29</f>
        <v>-420</v>
      </c>
      <c r="G29" s="12" t="n">
        <f aca="false">IF($A29-(Premissas!$B$42)&gt;=1,INDEX($D$5:$D$94,$A29-(Premissas!$B$42)),0)*(Premissas!$B$47*Unitário!$B$22*(Premissas!$B$16+Premissas!$B$17)-Premissas!$B$48*Unitário!$B$24)</f>
        <v>-318.9173022</v>
      </c>
      <c r="H29" s="12" t="n">
        <f aca="false">IF($A29-(Premissas!$B$42+Premissas!$B$43)&gt;=1,INDEX($D$5:$D$94,$A29-(Premissas!$B$42+Premissas!$B$43)),0)*(Unitário!$B$21*Premissas!$B$39-(1-Premissas!$B$48)*Unitário!$B$24-(1-Premissas!$B$47)*Unitário!$B$21*Unitário!$B$22)</f>
        <v>1327.578</v>
      </c>
      <c r="I29" s="12" t="n">
        <f aca="false">IF($A29-(Premissas!$B$44)&gt;=1,INDEX($E$5:$E$94,$A29-(Premissas!$B$44)),0)*(Premissas!$B$40-Unitário!$B$25)</f>
        <v>677.521419</v>
      </c>
      <c r="J29" s="12" t="n">
        <f aca="false">E29*(-Premissas!$B$47*Unitário!$B$22-(1-Premissas!$B$17)*Premissas!$B$21)</f>
        <v>-206.946</v>
      </c>
      <c r="K29" s="12" t="n">
        <f aca="false">IF($A29-(Premissas!$B$45)&gt;=1,INDEX($E$5:$E$94,$A29-(Premissas!$B$45)),0)*Premissas!$B$17*(-Premissas!$B$40-Premissas!$B$29+Premissas!$B$47*Unitário!$B$22)</f>
        <v>-67.146</v>
      </c>
      <c r="L29" s="12" t="n">
        <f aca="false">-Premissas!$B$30*(IF($A29-(Premissas!$B$42+Premissas!$B$43)&gt;=1,INDEX($D$5:$D$94,$A29-(Premissas!$B$42+Premissas!$B$43)),0)*Unitário!$B$21*Premissas!$B$39+IF($A29-(Premissas!$B$44)&gt;=1,INDEX($E$5:$E$94,$A29-(Premissas!$B$44)),0)*(1-Premissas!$B$17)*Premissas!$B$40)</f>
        <v>-0</v>
      </c>
      <c r="M29" s="12" t="n">
        <f aca="false">-Premissas!$B$31</f>
        <v>-0</v>
      </c>
      <c r="N29" s="12" t="n">
        <f aca="false">B29+C29+F29+G29+H29+I29+J29+K29+L29+M29</f>
        <v>637.2901168</v>
      </c>
      <c r="O29" s="12" t="n">
        <f aca="false">O28+N29</f>
        <v>-4201.1384756</v>
      </c>
      <c r="P29" s="15" t="n">
        <f aca="false">IF(AND($A29&gt;$B$100,O29&gt;=0),1,0)</f>
        <v>0</v>
      </c>
    </row>
    <row r="30" customFormat="false" ht="15" hidden="false" customHeight="false" outlineLevel="0" collapsed="false">
      <c r="A30" s="15" t="n">
        <v>26</v>
      </c>
      <c r="B30" s="12" t="n">
        <f aca="false">IF($A30&lt;=Premissas!$B$7,-Premissas!$B$6,0)</f>
        <v>-300</v>
      </c>
      <c r="C30" s="12" t="n">
        <f aca="false">-(IF($A30&lt;=Premissas!$B$7,Unitário!$B$26*Premissas!$B$10,0)+(D30+E30)*Premissas!$B$11)</f>
        <v>-54.8</v>
      </c>
      <c r="D30" s="27" t="n">
        <f aca="false">IF($A30&lt;=Premissas!$B$7,Unitário!$B$27*Premissas!$B$13,0)</f>
        <v>14</v>
      </c>
      <c r="E30" s="27" t="n">
        <f aca="false">IF($A30&lt;=Premissas!$B$7,Unitário!$B$27*Premissas!$B$14,0)</f>
        <v>6</v>
      </c>
      <c r="F30" s="12" t="n">
        <f aca="false">-Premissas!$B$47*Unitário!$B$22*D30</f>
        <v>-420</v>
      </c>
      <c r="G30" s="12" t="n">
        <f aca="false">IF($A30-(Premissas!$B$42)&gt;=1,INDEX($D$5:$D$94,$A30-(Premissas!$B$42)),0)*(Premissas!$B$47*Unitário!$B$22*(Premissas!$B$16+Premissas!$B$17)-Premissas!$B$48*Unitário!$B$24)</f>
        <v>-318.9173022</v>
      </c>
      <c r="H30" s="12" t="n">
        <f aca="false">IF($A30-(Premissas!$B$42+Premissas!$B$43)&gt;=1,INDEX($D$5:$D$94,$A30-(Premissas!$B$42+Premissas!$B$43)),0)*(Unitário!$B$21*Premissas!$B$39-(1-Premissas!$B$48)*Unitário!$B$24-(1-Premissas!$B$47)*Unitário!$B$21*Unitário!$B$22)</f>
        <v>1327.578</v>
      </c>
      <c r="I30" s="12" t="n">
        <f aca="false">IF($A30-(Premissas!$B$44)&gt;=1,INDEX($E$5:$E$94,$A30-(Premissas!$B$44)),0)*(Premissas!$B$40-Unitário!$B$25)</f>
        <v>677.521419</v>
      </c>
      <c r="J30" s="12" t="n">
        <f aca="false">E30*(-Premissas!$B$47*Unitário!$B$22-(1-Premissas!$B$17)*Premissas!$B$21)</f>
        <v>-206.946</v>
      </c>
      <c r="K30" s="12" t="n">
        <f aca="false">IF($A30-(Premissas!$B$45)&gt;=1,INDEX($E$5:$E$94,$A30-(Premissas!$B$45)),0)*Premissas!$B$17*(-Premissas!$B$40-Premissas!$B$29+Premissas!$B$47*Unitário!$B$22)</f>
        <v>-67.146</v>
      </c>
      <c r="L30" s="12" t="n">
        <f aca="false">-Premissas!$B$30*(IF($A30-(Premissas!$B$42+Premissas!$B$43)&gt;=1,INDEX($D$5:$D$94,$A30-(Premissas!$B$42+Premissas!$B$43)),0)*Unitário!$B$21*Premissas!$B$39+IF($A30-(Premissas!$B$44)&gt;=1,INDEX($E$5:$E$94,$A30-(Premissas!$B$44)),0)*(1-Premissas!$B$17)*Premissas!$B$40)</f>
        <v>-0</v>
      </c>
      <c r="M30" s="12" t="n">
        <f aca="false">-Premissas!$B$31</f>
        <v>-0</v>
      </c>
      <c r="N30" s="12" t="n">
        <f aca="false">B30+C30+F30+G30+H30+I30+J30+K30+L30+M30</f>
        <v>637.2901168</v>
      </c>
      <c r="O30" s="12" t="n">
        <f aca="false">O29+N30</f>
        <v>-3563.8483588</v>
      </c>
      <c r="P30" s="15" t="n">
        <f aca="false">IF(AND($A30&gt;$B$100,O30&gt;=0),1,0)</f>
        <v>0</v>
      </c>
    </row>
    <row r="31" customFormat="false" ht="15" hidden="false" customHeight="false" outlineLevel="0" collapsed="false">
      <c r="A31" s="15" t="n">
        <v>27</v>
      </c>
      <c r="B31" s="12" t="n">
        <f aca="false">IF($A31&lt;=Premissas!$B$7,-Premissas!$B$6,0)</f>
        <v>-300</v>
      </c>
      <c r="C31" s="12" t="n">
        <f aca="false">-(IF($A31&lt;=Premissas!$B$7,Unitário!$B$26*Premissas!$B$10,0)+(D31+E31)*Premissas!$B$11)</f>
        <v>-54.8</v>
      </c>
      <c r="D31" s="27" t="n">
        <f aca="false">IF($A31&lt;=Premissas!$B$7,Unitário!$B$27*Premissas!$B$13,0)</f>
        <v>14</v>
      </c>
      <c r="E31" s="27" t="n">
        <f aca="false">IF($A31&lt;=Premissas!$B$7,Unitário!$B$27*Premissas!$B$14,0)</f>
        <v>6</v>
      </c>
      <c r="F31" s="12" t="n">
        <f aca="false">-Premissas!$B$47*Unitário!$B$22*D31</f>
        <v>-420</v>
      </c>
      <c r="G31" s="12" t="n">
        <f aca="false">IF($A31-(Premissas!$B$42)&gt;=1,INDEX($D$5:$D$94,$A31-(Premissas!$B$42)),0)*(Premissas!$B$47*Unitário!$B$22*(Premissas!$B$16+Premissas!$B$17)-Premissas!$B$48*Unitário!$B$24)</f>
        <v>-318.9173022</v>
      </c>
      <c r="H31" s="12" t="n">
        <f aca="false">IF($A31-(Premissas!$B$42+Premissas!$B$43)&gt;=1,INDEX($D$5:$D$94,$A31-(Premissas!$B$42+Premissas!$B$43)),0)*(Unitário!$B$21*Premissas!$B$39-(1-Premissas!$B$48)*Unitário!$B$24-(1-Premissas!$B$47)*Unitário!$B$21*Unitário!$B$22)</f>
        <v>1327.578</v>
      </c>
      <c r="I31" s="12" t="n">
        <f aca="false">IF($A31-(Premissas!$B$44)&gt;=1,INDEX($E$5:$E$94,$A31-(Premissas!$B$44)),0)*(Premissas!$B$40-Unitário!$B$25)</f>
        <v>677.521419</v>
      </c>
      <c r="J31" s="12" t="n">
        <f aca="false">E31*(-Premissas!$B$47*Unitário!$B$22-(1-Premissas!$B$17)*Premissas!$B$21)</f>
        <v>-206.946</v>
      </c>
      <c r="K31" s="12" t="n">
        <f aca="false">IF($A31-(Premissas!$B$45)&gt;=1,INDEX($E$5:$E$94,$A31-(Premissas!$B$45)),0)*Premissas!$B$17*(-Premissas!$B$40-Premissas!$B$29+Premissas!$B$47*Unitário!$B$22)</f>
        <v>-67.146</v>
      </c>
      <c r="L31" s="12" t="n">
        <f aca="false">-Premissas!$B$30*(IF($A31-(Premissas!$B$42+Premissas!$B$43)&gt;=1,INDEX($D$5:$D$94,$A31-(Premissas!$B$42+Premissas!$B$43)),0)*Unitário!$B$21*Premissas!$B$39+IF($A31-(Premissas!$B$44)&gt;=1,INDEX($E$5:$E$94,$A31-(Premissas!$B$44)),0)*(1-Premissas!$B$17)*Premissas!$B$40)</f>
        <v>-0</v>
      </c>
      <c r="M31" s="12" t="n">
        <f aca="false">-Premissas!$B$31</f>
        <v>-0</v>
      </c>
      <c r="N31" s="12" t="n">
        <f aca="false">B31+C31+F31+G31+H31+I31+J31+K31+L31+M31</f>
        <v>637.2901168</v>
      </c>
      <c r="O31" s="12" t="n">
        <f aca="false">O30+N31</f>
        <v>-2926.558242</v>
      </c>
      <c r="P31" s="15" t="n">
        <f aca="false">IF(AND($A31&gt;$B$100,O31&gt;=0),1,0)</f>
        <v>0</v>
      </c>
    </row>
    <row r="32" customFormat="false" ht="15" hidden="false" customHeight="false" outlineLevel="0" collapsed="false">
      <c r="A32" s="15" t="n">
        <v>28</v>
      </c>
      <c r="B32" s="12" t="n">
        <f aca="false">IF($A32&lt;=Premissas!$B$7,-Premissas!$B$6,0)</f>
        <v>-300</v>
      </c>
      <c r="C32" s="12" t="n">
        <f aca="false">-(IF($A32&lt;=Premissas!$B$7,Unitário!$B$26*Premissas!$B$10,0)+(D32+E32)*Premissas!$B$11)</f>
        <v>-54.8</v>
      </c>
      <c r="D32" s="27" t="n">
        <f aca="false">IF($A32&lt;=Premissas!$B$7,Unitário!$B$27*Premissas!$B$13,0)</f>
        <v>14</v>
      </c>
      <c r="E32" s="27" t="n">
        <f aca="false">IF($A32&lt;=Premissas!$B$7,Unitário!$B$27*Premissas!$B$14,0)</f>
        <v>6</v>
      </c>
      <c r="F32" s="12" t="n">
        <f aca="false">-Premissas!$B$47*Unitário!$B$22*D32</f>
        <v>-420</v>
      </c>
      <c r="G32" s="12" t="n">
        <f aca="false">IF($A32-(Premissas!$B$42)&gt;=1,INDEX($D$5:$D$94,$A32-(Premissas!$B$42)),0)*(Premissas!$B$47*Unitário!$B$22*(Premissas!$B$16+Premissas!$B$17)-Premissas!$B$48*Unitário!$B$24)</f>
        <v>-318.9173022</v>
      </c>
      <c r="H32" s="12" t="n">
        <f aca="false">IF($A32-(Premissas!$B$42+Premissas!$B$43)&gt;=1,INDEX($D$5:$D$94,$A32-(Premissas!$B$42+Premissas!$B$43)),0)*(Unitário!$B$21*Premissas!$B$39-(1-Premissas!$B$48)*Unitário!$B$24-(1-Premissas!$B$47)*Unitário!$B$21*Unitário!$B$22)</f>
        <v>1327.578</v>
      </c>
      <c r="I32" s="12" t="n">
        <f aca="false">IF($A32-(Premissas!$B$44)&gt;=1,INDEX($E$5:$E$94,$A32-(Premissas!$B$44)),0)*(Premissas!$B$40-Unitário!$B$25)</f>
        <v>677.521419</v>
      </c>
      <c r="J32" s="12" t="n">
        <f aca="false">E32*(-Premissas!$B$47*Unitário!$B$22-(1-Premissas!$B$17)*Premissas!$B$21)</f>
        <v>-206.946</v>
      </c>
      <c r="K32" s="12" t="n">
        <f aca="false">IF($A32-(Premissas!$B$45)&gt;=1,INDEX($E$5:$E$94,$A32-(Premissas!$B$45)),0)*Premissas!$B$17*(-Premissas!$B$40-Premissas!$B$29+Premissas!$B$47*Unitário!$B$22)</f>
        <v>-67.146</v>
      </c>
      <c r="L32" s="12" t="n">
        <f aca="false">-Premissas!$B$30*(IF($A32-(Premissas!$B$42+Premissas!$B$43)&gt;=1,INDEX($D$5:$D$94,$A32-(Premissas!$B$42+Premissas!$B$43)),0)*Unitário!$B$21*Premissas!$B$39+IF($A32-(Premissas!$B$44)&gt;=1,INDEX($E$5:$E$94,$A32-(Premissas!$B$44)),0)*(1-Premissas!$B$17)*Premissas!$B$40)</f>
        <v>-0</v>
      </c>
      <c r="M32" s="12" t="n">
        <f aca="false">-Premissas!$B$31</f>
        <v>-0</v>
      </c>
      <c r="N32" s="12" t="n">
        <f aca="false">B32+C32+F32+G32+H32+I32+J32+K32+L32+M32</f>
        <v>637.2901168</v>
      </c>
      <c r="O32" s="12" t="n">
        <f aca="false">O31+N32</f>
        <v>-2289.2681252</v>
      </c>
      <c r="P32" s="15" t="n">
        <f aca="false">IF(AND($A32&gt;$B$100,O32&gt;=0),1,0)</f>
        <v>0</v>
      </c>
    </row>
    <row r="33" customFormat="false" ht="15" hidden="false" customHeight="false" outlineLevel="0" collapsed="false">
      <c r="A33" s="15" t="n">
        <v>29</v>
      </c>
      <c r="B33" s="12" t="n">
        <f aca="false">IF($A33&lt;=Premissas!$B$7,-Premissas!$B$6,0)</f>
        <v>-300</v>
      </c>
      <c r="C33" s="12" t="n">
        <f aca="false">-(IF($A33&lt;=Premissas!$B$7,Unitário!$B$26*Premissas!$B$10,0)+(D33+E33)*Premissas!$B$11)</f>
        <v>-54.8</v>
      </c>
      <c r="D33" s="27" t="n">
        <f aca="false">IF($A33&lt;=Premissas!$B$7,Unitário!$B$27*Premissas!$B$13,0)</f>
        <v>14</v>
      </c>
      <c r="E33" s="27" t="n">
        <f aca="false">IF($A33&lt;=Premissas!$B$7,Unitário!$B$27*Premissas!$B$14,0)</f>
        <v>6</v>
      </c>
      <c r="F33" s="12" t="n">
        <f aca="false">-Premissas!$B$47*Unitário!$B$22*D33</f>
        <v>-420</v>
      </c>
      <c r="G33" s="12" t="n">
        <f aca="false">IF($A33-(Premissas!$B$42)&gt;=1,INDEX($D$5:$D$94,$A33-(Premissas!$B$42)),0)*(Premissas!$B$47*Unitário!$B$22*(Premissas!$B$16+Premissas!$B$17)-Premissas!$B$48*Unitário!$B$24)</f>
        <v>-318.9173022</v>
      </c>
      <c r="H33" s="12" t="n">
        <f aca="false">IF($A33-(Premissas!$B$42+Premissas!$B$43)&gt;=1,INDEX($D$5:$D$94,$A33-(Premissas!$B$42+Premissas!$B$43)),0)*(Unitário!$B$21*Premissas!$B$39-(1-Premissas!$B$48)*Unitário!$B$24-(1-Premissas!$B$47)*Unitário!$B$21*Unitário!$B$22)</f>
        <v>1327.578</v>
      </c>
      <c r="I33" s="12" t="n">
        <f aca="false">IF($A33-(Premissas!$B$44)&gt;=1,INDEX($E$5:$E$94,$A33-(Premissas!$B$44)),0)*(Premissas!$B$40-Unitário!$B$25)</f>
        <v>677.521419</v>
      </c>
      <c r="J33" s="12" t="n">
        <f aca="false">E33*(-Premissas!$B$47*Unitário!$B$22-(1-Premissas!$B$17)*Premissas!$B$21)</f>
        <v>-206.946</v>
      </c>
      <c r="K33" s="12" t="n">
        <f aca="false">IF($A33-(Premissas!$B$45)&gt;=1,INDEX($E$5:$E$94,$A33-(Premissas!$B$45)),0)*Premissas!$B$17*(-Premissas!$B$40-Premissas!$B$29+Premissas!$B$47*Unitário!$B$22)</f>
        <v>-67.146</v>
      </c>
      <c r="L33" s="12" t="n">
        <f aca="false">-Premissas!$B$30*(IF($A33-(Premissas!$B$42+Premissas!$B$43)&gt;=1,INDEX($D$5:$D$94,$A33-(Premissas!$B$42+Premissas!$B$43)),0)*Unitário!$B$21*Premissas!$B$39+IF($A33-(Premissas!$B$44)&gt;=1,INDEX($E$5:$E$94,$A33-(Premissas!$B$44)),0)*(1-Premissas!$B$17)*Premissas!$B$40)</f>
        <v>-0</v>
      </c>
      <c r="M33" s="12" t="n">
        <f aca="false">-Premissas!$B$31</f>
        <v>-0</v>
      </c>
      <c r="N33" s="12" t="n">
        <f aca="false">B33+C33+F33+G33+H33+I33+J33+K33+L33+M33</f>
        <v>637.2901168</v>
      </c>
      <c r="O33" s="12" t="n">
        <f aca="false">O32+N33</f>
        <v>-1651.9780084</v>
      </c>
      <c r="P33" s="15" t="n">
        <f aca="false">IF(AND($A33&gt;$B$100,O33&gt;=0),1,0)</f>
        <v>0</v>
      </c>
    </row>
    <row r="34" customFormat="false" ht="15" hidden="false" customHeight="false" outlineLevel="0" collapsed="false">
      <c r="A34" s="15" t="n">
        <v>30</v>
      </c>
      <c r="B34" s="12" t="n">
        <f aca="false">IF($A34&lt;=Premissas!$B$7,-Premissas!$B$6,0)</f>
        <v>-300</v>
      </c>
      <c r="C34" s="12" t="n">
        <f aca="false">-(IF($A34&lt;=Premissas!$B$7,Unitário!$B$26*Premissas!$B$10,0)+(D34+E34)*Premissas!$B$11)</f>
        <v>-54.8</v>
      </c>
      <c r="D34" s="27" t="n">
        <f aca="false">IF($A34&lt;=Premissas!$B$7,Unitário!$B$27*Premissas!$B$13,0)</f>
        <v>14</v>
      </c>
      <c r="E34" s="27" t="n">
        <f aca="false">IF($A34&lt;=Premissas!$B$7,Unitário!$B$27*Premissas!$B$14,0)</f>
        <v>6</v>
      </c>
      <c r="F34" s="12" t="n">
        <f aca="false">-Premissas!$B$47*Unitário!$B$22*D34</f>
        <v>-420</v>
      </c>
      <c r="G34" s="12" t="n">
        <f aca="false">IF($A34-(Premissas!$B$42)&gt;=1,INDEX($D$5:$D$94,$A34-(Premissas!$B$42)),0)*(Premissas!$B$47*Unitário!$B$22*(Premissas!$B$16+Premissas!$B$17)-Premissas!$B$48*Unitário!$B$24)</f>
        <v>-318.9173022</v>
      </c>
      <c r="H34" s="12" t="n">
        <f aca="false">IF($A34-(Premissas!$B$42+Premissas!$B$43)&gt;=1,INDEX($D$5:$D$94,$A34-(Premissas!$B$42+Premissas!$B$43)),0)*(Unitário!$B$21*Premissas!$B$39-(1-Premissas!$B$48)*Unitário!$B$24-(1-Premissas!$B$47)*Unitário!$B$21*Unitário!$B$22)</f>
        <v>1327.578</v>
      </c>
      <c r="I34" s="12" t="n">
        <f aca="false">IF($A34-(Premissas!$B$44)&gt;=1,INDEX($E$5:$E$94,$A34-(Premissas!$B$44)),0)*(Premissas!$B$40-Unitário!$B$25)</f>
        <v>677.521419</v>
      </c>
      <c r="J34" s="12" t="n">
        <f aca="false">E34*(-Premissas!$B$47*Unitário!$B$22-(1-Premissas!$B$17)*Premissas!$B$21)</f>
        <v>-206.946</v>
      </c>
      <c r="K34" s="12" t="n">
        <f aca="false">IF($A34-(Premissas!$B$45)&gt;=1,INDEX($E$5:$E$94,$A34-(Premissas!$B$45)),0)*Premissas!$B$17*(-Premissas!$B$40-Premissas!$B$29+Premissas!$B$47*Unitário!$B$22)</f>
        <v>-67.146</v>
      </c>
      <c r="L34" s="12" t="n">
        <f aca="false">-Premissas!$B$30*(IF($A34-(Premissas!$B$42+Premissas!$B$43)&gt;=1,INDEX($D$5:$D$94,$A34-(Premissas!$B$42+Premissas!$B$43)),0)*Unitário!$B$21*Premissas!$B$39+IF($A34-(Premissas!$B$44)&gt;=1,INDEX($E$5:$E$94,$A34-(Premissas!$B$44)),0)*(1-Premissas!$B$17)*Premissas!$B$40)</f>
        <v>-0</v>
      </c>
      <c r="M34" s="12" t="n">
        <f aca="false">-Premissas!$B$31</f>
        <v>-0</v>
      </c>
      <c r="N34" s="12" t="n">
        <f aca="false">B34+C34+F34+G34+H34+I34+J34+K34+L34+M34</f>
        <v>637.2901168</v>
      </c>
      <c r="O34" s="12" t="n">
        <f aca="false">O33+N34</f>
        <v>-1014.6878916</v>
      </c>
      <c r="P34" s="15" t="n">
        <f aca="false">IF(AND($A34&gt;$B$100,O34&gt;=0),1,0)</f>
        <v>0</v>
      </c>
    </row>
    <row r="35" customFormat="false" ht="15" hidden="false" customHeight="false" outlineLevel="0" collapsed="false">
      <c r="A35" s="15" t="n">
        <v>31</v>
      </c>
      <c r="B35" s="12" t="n">
        <f aca="false">IF($A35&lt;=Premissas!$B$7,-Premissas!$B$6,0)</f>
        <v>0</v>
      </c>
      <c r="C35" s="12" t="n">
        <f aca="false">-(IF($A35&lt;=Premissas!$B$7,Unitário!$B$26*Premissas!$B$10,0)+(D35+E35)*Premissas!$B$11)</f>
        <v>-0</v>
      </c>
      <c r="D35" s="27" t="n">
        <f aca="false">IF($A35&lt;=Premissas!$B$7,Unitário!$B$27*Premissas!$B$13,0)</f>
        <v>0</v>
      </c>
      <c r="E35" s="27" t="n">
        <f aca="false">IF($A35&lt;=Premissas!$B$7,Unitário!$B$27*Premissas!$B$14,0)</f>
        <v>0</v>
      </c>
      <c r="F35" s="12" t="n">
        <f aca="false">-Premissas!$B$47*Unitário!$B$22*D35</f>
        <v>-0</v>
      </c>
      <c r="G35" s="12" t="n">
        <f aca="false">IF($A35-(Premissas!$B$42)&gt;=1,INDEX($D$5:$D$94,$A35-(Premissas!$B$42)),0)*(Premissas!$B$47*Unitário!$B$22*(Premissas!$B$16+Premissas!$B$17)-Premissas!$B$48*Unitário!$B$24)</f>
        <v>-318.9173022</v>
      </c>
      <c r="H35" s="12" t="n">
        <f aca="false">IF($A35-(Premissas!$B$42+Premissas!$B$43)&gt;=1,INDEX($D$5:$D$94,$A35-(Premissas!$B$42+Premissas!$B$43)),0)*(Unitário!$B$21*Premissas!$B$39-(1-Premissas!$B$48)*Unitário!$B$24-(1-Premissas!$B$47)*Unitário!$B$21*Unitário!$B$22)</f>
        <v>1327.578</v>
      </c>
      <c r="I35" s="12" t="n">
        <f aca="false">IF($A35-(Premissas!$B$44)&gt;=1,INDEX($E$5:$E$94,$A35-(Premissas!$B$44)),0)*(Premissas!$B$40-Unitário!$B$25)</f>
        <v>0</v>
      </c>
      <c r="J35" s="12" t="n">
        <f aca="false">E35*(-Premissas!$B$47*Unitário!$B$22-(1-Premissas!$B$17)*Premissas!$B$21)</f>
        <v>-0</v>
      </c>
      <c r="K35" s="12" t="n">
        <f aca="false">IF($A35-(Premissas!$B$45)&gt;=1,INDEX($E$5:$E$94,$A35-(Premissas!$B$45)),0)*Premissas!$B$17*(-Premissas!$B$40-Premissas!$B$29+Premissas!$B$47*Unitário!$B$22)</f>
        <v>-67.146</v>
      </c>
      <c r="L35" s="12" t="n">
        <f aca="false">-Premissas!$B$30*(IF($A35-(Premissas!$B$42+Premissas!$B$43)&gt;=1,INDEX($D$5:$D$94,$A35-(Premissas!$B$42+Premissas!$B$43)),0)*Unitário!$B$21*Premissas!$B$39+IF($A35-(Premissas!$B$44)&gt;=1,INDEX($E$5:$E$94,$A35-(Premissas!$B$44)),0)*(1-Premissas!$B$17)*Premissas!$B$40)</f>
        <v>-0</v>
      </c>
      <c r="M35" s="12" t="n">
        <f aca="false">-Premissas!$B$31</f>
        <v>-0</v>
      </c>
      <c r="N35" s="12" t="n">
        <f aca="false">B35+C35+F35+G35+H35+I35+J35+K35+L35+M35</f>
        <v>941.5146978</v>
      </c>
      <c r="O35" s="12" t="n">
        <f aca="false">O34+N35</f>
        <v>-73.1731937999965</v>
      </c>
      <c r="P35" s="15" t="n">
        <f aca="false">IF(AND($A35&gt;$B$100,O35&gt;=0),1,0)</f>
        <v>0</v>
      </c>
    </row>
    <row r="36" customFormat="false" ht="15" hidden="false" customHeight="false" outlineLevel="0" collapsed="false">
      <c r="A36" s="15" t="n">
        <v>32</v>
      </c>
      <c r="B36" s="12" t="n">
        <f aca="false">IF($A36&lt;=Premissas!$B$7,-Premissas!$B$6,0)</f>
        <v>0</v>
      </c>
      <c r="C36" s="12" t="n">
        <f aca="false">-(IF($A36&lt;=Premissas!$B$7,Unitário!$B$26*Premissas!$B$10,0)+(D36+E36)*Premissas!$B$11)</f>
        <v>-0</v>
      </c>
      <c r="D36" s="27" t="n">
        <f aca="false">IF($A36&lt;=Premissas!$B$7,Unitário!$B$27*Premissas!$B$13,0)</f>
        <v>0</v>
      </c>
      <c r="E36" s="27" t="n">
        <f aca="false">IF($A36&lt;=Premissas!$B$7,Unitário!$B$27*Premissas!$B$14,0)</f>
        <v>0</v>
      </c>
      <c r="F36" s="12" t="n">
        <f aca="false">-Premissas!$B$47*Unitário!$B$22*D36</f>
        <v>-0</v>
      </c>
      <c r="G36" s="12" t="n">
        <f aca="false">IF($A36-(Premissas!$B$42)&gt;=1,INDEX($D$5:$D$94,$A36-(Premissas!$B$42)),0)*(Premissas!$B$47*Unitário!$B$22*(Premissas!$B$16+Premissas!$B$17)-Premissas!$B$48*Unitário!$B$24)</f>
        <v>-318.9173022</v>
      </c>
      <c r="H36" s="12" t="n">
        <f aca="false">IF($A36-(Premissas!$B$42+Premissas!$B$43)&gt;=1,INDEX($D$5:$D$94,$A36-(Premissas!$B$42+Premissas!$B$43)),0)*(Unitário!$B$21*Premissas!$B$39-(1-Premissas!$B$48)*Unitário!$B$24-(1-Premissas!$B$47)*Unitário!$B$21*Unitário!$B$22)</f>
        <v>1327.578</v>
      </c>
      <c r="I36" s="12" t="n">
        <f aca="false">IF($A36-(Premissas!$B$44)&gt;=1,INDEX($E$5:$E$94,$A36-(Premissas!$B$44)),0)*(Premissas!$B$40-Unitário!$B$25)</f>
        <v>0</v>
      </c>
      <c r="J36" s="12" t="n">
        <f aca="false">E36*(-Premissas!$B$47*Unitário!$B$22-(1-Premissas!$B$17)*Premissas!$B$21)</f>
        <v>-0</v>
      </c>
      <c r="K36" s="12" t="n">
        <f aca="false">IF($A36-(Premissas!$B$45)&gt;=1,INDEX($E$5:$E$94,$A36-(Premissas!$B$45)),0)*Premissas!$B$17*(-Premissas!$B$40-Premissas!$B$29+Premissas!$B$47*Unitário!$B$22)</f>
        <v>-67.146</v>
      </c>
      <c r="L36" s="12" t="n">
        <f aca="false">-Premissas!$B$30*(IF($A36-(Premissas!$B$42+Premissas!$B$43)&gt;=1,INDEX($D$5:$D$94,$A36-(Premissas!$B$42+Premissas!$B$43)),0)*Unitário!$B$21*Premissas!$B$39+IF($A36-(Premissas!$B$44)&gt;=1,INDEX($E$5:$E$94,$A36-(Premissas!$B$44)),0)*(1-Premissas!$B$17)*Premissas!$B$40)</f>
        <v>-0</v>
      </c>
      <c r="M36" s="12" t="n">
        <f aca="false">-Premissas!$B$31</f>
        <v>-0</v>
      </c>
      <c r="N36" s="12" t="n">
        <f aca="false">B36+C36+F36+G36+H36+I36+J36+K36+L36+M36</f>
        <v>941.5146978</v>
      </c>
      <c r="O36" s="12" t="n">
        <f aca="false">O35+N36</f>
        <v>868.341504000004</v>
      </c>
      <c r="P36" s="15" t="n">
        <f aca="false">IF(AND($A36&gt;$B$100,O36&gt;=0),1,0)</f>
        <v>1</v>
      </c>
    </row>
    <row r="37" customFormat="false" ht="15" hidden="false" customHeight="false" outlineLevel="0" collapsed="false">
      <c r="A37" s="15" t="n">
        <v>33</v>
      </c>
      <c r="B37" s="12" t="n">
        <f aca="false">IF($A37&lt;=Premissas!$B$7,-Premissas!$B$6,0)</f>
        <v>0</v>
      </c>
      <c r="C37" s="12" t="n">
        <f aca="false">-(IF($A37&lt;=Premissas!$B$7,Unitário!$B$26*Premissas!$B$10,0)+(D37+E37)*Premissas!$B$11)</f>
        <v>-0</v>
      </c>
      <c r="D37" s="27" t="n">
        <f aca="false">IF($A37&lt;=Premissas!$B$7,Unitário!$B$27*Premissas!$B$13,0)</f>
        <v>0</v>
      </c>
      <c r="E37" s="27" t="n">
        <f aca="false">IF($A37&lt;=Premissas!$B$7,Unitário!$B$27*Premissas!$B$14,0)</f>
        <v>0</v>
      </c>
      <c r="F37" s="12" t="n">
        <f aca="false">-Premissas!$B$47*Unitário!$B$22*D37</f>
        <v>-0</v>
      </c>
      <c r="G37" s="12" t="n">
        <f aca="false">IF($A37-(Premissas!$B$42)&gt;=1,INDEX($D$5:$D$94,$A37-(Premissas!$B$42)),0)*(Premissas!$B$47*Unitário!$B$22*(Premissas!$B$16+Premissas!$B$17)-Premissas!$B$48*Unitário!$B$24)</f>
        <v>-0</v>
      </c>
      <c r="H37" s="12" t="n">
        <f aca="false">IF($A37-(Premissas!$B$42+Premissas!$B$43)&gt;=1,INDEX($D$5:$D$94,$A37-(Premissas!$B$42+Premissas!$B$43)),0)*(Unitário!$B$21*Premissas!$B$39-(1-Premissas!$B$48)*Unitário!$B$24-(1-Premissas!$B$47)*Unitário!$B$21*Unitário!$B$22)</f>
        <v>1327.578</v>
      </c>
      <c r="I37" s="12" t="n">
        <f aca="false">IF($A37-(Premissas!$B$44)&gt;=1,INDEX($E$5:$E$94,$A37-(Premissas!$B$44)),0)*(Premissas!$B$40-Unitário!$B$25)</f>
        <v>0</v>
      </c>
      <c r="J37" s="12" t="n">
        <f aca="false">E37*(-Premissas!$B$47*Unitário!$B$22-(1-Premissas!$B$17)*Premissas!$B$21)</f>
        <v>-0</v>
      </c>
      <c r="K37" s="12" t="n">
        <f aca="false">IF($A37-(Premissas!$B$45)&gt;=1,INDEX($E$5:$E$94,$A37-(Premissas!$B$45)),0)*Premissas!$B$17*(-Premissas!$B$40-Premissas!$B$29+Premissas!$B$47*Unitário!$B$22)</f>
        <v>-67.146</v>
      </c>
      <c r="L37" s="12" t="n">
        <f aca="false">-Premissas!$B$30*(IF($A37-(Premissas!$B$42+Premissas!$B$43)&gt;=1,INDEX($D$5:$D$94,$A37-(Premissas!$B$42+Premissas!$B$43)),0)*Unitário!$B$21*Premissas!$B$39+IF($A37-(Premissas!$B$44)&gt;=1,INDEX($E$5:$E$94,$A37-(Premissas!$B$44)),0)*(1-Premissas!$B$17)*Premissas!$B$40)</f>
        <v>-0</v>
      </c>
      <c r="M37" s="12" t="n">
        <f aca="false">-Premissas!$B$31</f>
        <v>-0</v>
      </c>
      <c r="N37" s="12" t="n">
        <f aca="false">B37+C37+F37+G37+H37+I37+J37+K37+L37+M37</f>
        <v>1260.432</v>
      </c>
      <c r="O37" s="12" t="n">
        <f aca="false">O36+N37</f>
        <v>2128.773504</v>
      </c>
      <c r="P37" s="15" t="n">
        <f aca="false">IF(AND($A37&gt;$B$100,O37&gt;=0),1,0)</f>
        <v>1</v>
      </c>
    </row>
    <row r="38" customFormat="false" ht="15" hidden="false" customHeight="false" outlineLevel="0" collapsed="false">
      <c r="A38" s="15" t="n">
        <v>34</v>
      </c>
      <c r="B38" s="12" t="n">
        <f aca="false">IF($A38&lt;=Premissas!$B$7,-Premissas!$B$6,0)</f>
        <v>0</v>
      </c>
      <c r="C38" s="12" t="n">
        <f aca="false">-(IF($A38&lt;=Premissas!$B$7,Unitário!$B$26*Premissas!$B$10,0)+(D38+E38)*Premissas!$B$11)</f>
        <v>-0</v>
      </c>
      <c r="D38" s="27" t="n">
        <f aca="false">IF($A38&lt;=Premissas!$B$7,Unitário!$B$27*Premissas!$B$13,0)</f>
        <v>0</v>
      </c>
      <c r="E38" s="27" t="n">
        <f aca="false">IF($A38&lt;=Premissas!$B$7,Unitário!$B$27*Premissas!$B$14,0)</f>
        <v>0</v>
      </c>
      <c r="F38" s="12" t="n">
        <f aca="false">-Premissas!$B$47*Unitário!$B$22*D38</f>
        <v>-0</v>
      </c>
      <c r="G38" s="12" t="n">
        <f aca="false">IF($A38-(Premissas!$B$42)&gt;=1,INDEX($D$5:$D$94,$A38-(Premissas!$B$42)),0)*(Premissas!$B$47*Unitário!$B$22*(Premissas!$B$16+Premissas!$B$17)-Premissas!$B$48*Unitário!$B$24)</f>
        <v>-0</v>
      </c>
      <c r="H38" s="12" t="n">
        <f aca="false">IF($A38-(Premissas!$B$42+Premissas!$B$43)&gt;=1,INDEX($D$5:$D$94,$A38-(Premissas!$B$42+Premissas!$B$43)),0)*(Unitário!$B$21*Premissas!$B$39-(1-Premissas!$B$48)*Unitário!$B$24-(1-Premissas!$B$47)*Unitário!$B$21*Unitário!$B$22)</f>
        <v>1327.578</v>
      </c>
      <c r="I38" s="12" t="n">
        <f aca="false">IF($A38-(Premissas!$B$44)&gt;=1,INDEX($E$5:$E$94,$A38-(Premissas!$B$44)),0)*(Premissas!$B$40-Unitário!$B$25)</f>
        <v>0</v>
      </c>
      <c r="J38" s="12" t="n">
        <f aca="false">E38*(-Premissas!$B$47*Unitário!$B$22-(1-Premissas!$B$17)*Premissas!$B$21)</f>
        <v>-0</v>
      </c>
      <c r="K38" s="12" t="n">
        <f aca="false">IF($A38-(Premissas!$B$45)&gt;=1,INDEX($E$5:$E$94,$A38-(Premissas!$B$45)),0)*Premissas!$B$17*(-Premissas!$B$40-Premissas!$B$29+Premissas!$B$47*Unitário!$B$22)</f>
        <v>-67.146</v>
      </c>
      <c r="L38" s="12" t="n">
        <f aca="false">-Premissas!$B$30*(IF($A38-(Premissas!$B$42+Premissas!$B$43)&gt;=1,INDEX($D$5:$D$94,$A38-(Premissas!$B$42+Premissas!$B$43)),0)*Unitário!$B$21*Premissas!$B$39+IF($A38-(Premissas!$B$44)&gt;=1,INDEX($E$5:$E$94,$A38-(Premissas!$B$44)),0)*(1-Premissas!$B$17)*Premissas!$B$40)</f>
        <v>-0</v>
      </c>
      <c r="M38" s="12" t="n">
        <f aca="false">-Premissas!$B$31</f>
        <v>-0</v>
      </c>
      <c r="N38" s="12" t="n">
        <f aca="false">B38+C38+F38+G38+H38+I38+J38+K38+L38+M38</f>
        <v>1260.432</v>
      </c>
      <c r="O38" s="12" t="n">
        <f aca="false">O37+N38</f>
        <v>3389.205504</v>
      </c>
      <c r="P38" s="15" t="n">
        <f aca="false">IF(AND($A38&gt;$B$100,O38&gt;=0),1,0)</f>
        <v>1</v>
      </c>
    </row>
    <row r="39" customFormat="false" ht="15" hidden="false" customHeight="false" outlineLevel="0" collapsed="false">
      <c r="A39" s="15" t="n">
        <v>35</v>
      </c>
      <c r="B39" s="12" t="n">
        <f aca="false">IF($A39&lt;=Premissas!$B$7,-Premissas!$B$6,0)</f>
        <v>0</v>
      </c>
      <c r="C39" s="12" t="n">
        <f aca="false">-(IF($A39&lt;=Premissas!$B$7,Unitário!$B$26*Premissas!$B$10,0)+(D39+E39)*Premissas!$B$11)</f>
        <v>-0</v>
      </c>
      <c r="D39" s="27" t="n">
        <f aca="false">IF($A39&lt;=Premissas!$B$7,Unitário!$B$27*Premissas!$B$13,0)</f>
        <v>0</v>
      </c>
      <c r="E39" s="27" t="n">
        <f aca="false">IF($A39&lt;=Premissas!$B$7,Unitário!$B$27*Premissas!$B$14,0)</f>
        <v>0</v>
      </c>
      <c r="F39" s="12" t="n">
        <f aca="false">-Premissas!$B$47*Unitário!$B$22*D39</f>
        <v>-0</v>
      </c>
      <c r="G39" s="12" t="n">
        <f aca="false">IF($A39-(Premissas!$B$42)&gt;=1,INDEX($D$5:$D$94,$A39-(Premissas!$B$42)),0)*(Premissas!$B$47*Unitário!$B$22*(Premissas!$B$16+Premissas!$B$17)-Premissas!$B$48*Unitário!$B$24)</f>
        <v>-0</v>
      </c>
      <c r="H39" s="12" t="n">
        <f aca="false">IF($A39-(Premissas!$B$42+Premissas!$B$43)&gt;=1,INDEX($D$5:$D$94,$A39-(Premissas!$B$42+Premissas!$B$43)),0)*(Unitário!$B$21*Premissas!$B$39-(1-Premissas!$B$48)*Unitário!$B$24-(1-Premissas!$B$47)*Unitário!$B$21*Unitário!$B$22)</f>
        <v>1327.578</v>
      </c>
      <c r="I39" s="12" t="n">
        <f aca="false">IF($A39-(Premissas!$B$44)&gt;=1,INDEX($E$5:$E$94,$A39-(Premissas!$B$44)),0)*(Premissas!$B$40-Unitário!$B$25)</f>
        <v>0</v>
      </c>
      <c r="J39" s="12" t="n">
        <f aca="false">E39*(-Premissas!$B$47*Unitário!$B$22-(1-Premissas!$B$17)*Premissas!$B$21)</f>
        <v>-0</v>
      </c>
      <c r="K39" s="12" t="n">
        <f aca="false">IF($A39-(Premissas!$B$45)&gt;=1,INDEX($E$5:$E$94,$A39-(Premissas!$B$45)),0)*Premissas!$B$17*(-Premissas!$B$40-Premissas!$B$29+Premissas!$B$47*Unitário!$B$22)</f>
        <v>-67.146</v>
      </c>
      <c r="L39" s="12" t="n">
        <f aca="false">-Premissas!$B$30*(IF($A39-(Premissas!$B$42+Premissas!$B$43)&gt;=1,INDEX($D$5:$D$94,$A39-(Premissas!$B$42+Premissas!$B$43)),0)*Unitário!$B$21*Premissas!$B$39+IF($A39-(Premissas!$B$44)&gt;=1,INDEX($E$5:$E$94,$A39-(Premissas!$B$44)),0)*(1-Premissas!$B$17)*Premissas!$B$40)</f>
        <v>-0</v>
      </c>
      <c r="M39" s="12" t="n">
        <f aca="false">-Premissas!$B$31</f>
        <v>-0</v>
      </c>
      <c r="N39" s="12" t="n">
        <f aca="false">B39+C39+F39+G39+H39+I39+J39+K39+L39+M39</f>
        <v>1260.432</v>
      </c>
      <c r="O39" s="12" t="n">
        <f aca="false">O38+N39</f>
        <v>4649.637504</v>
      </c>
      <c r="P39" s="15" t="n">
        <f aca="false">IF(AND($A39&gt;$B$100,O39&gt;=0),1,0)</f>
        <v>1</v>
      </c>
    </row>
    <row r="40" customFormat="false" ht="15" hidden="false" customHeight="false" outlineLevel="0" collapsed="false">
      <c r="A40" s="15" t="n">
        <v>36</v>
      </c>
      <c r="B40" s="12" t="n">
        <f aca="false">IF($A40&lt;=Premissas!$B$7,-Premissas!$B$6,0)</f>
        <v>0</v>
      </c>
      <c r="C40" s="12" t="n">
        <f aca="false">-(IF($A40&lt;=Premissas!$B$7,Unitário!$B$26*Premissas!$B$10,0)+(D40+E40)*Premissas!$B$11)</f>
        <v>-0</v>
      </c>
      <c r="D40" s="27" t="n">
        <f aca="false">IF($A40&lt;=Premissas!$B$7,Unitário!$B$27*Premissas!$B$13,0)</f>
        <v>0</v>
      </c>
      <c r="E40" s="27" t="n">
        <f aca="false">IF($A40&lt;=Premissas!$B$7,Unitário!$B$27*Premissas!$B$14,0)</f>
        <v>0</v>
      </c>
      <c r="F40" s="12" t="n">
        <f aca="false">-Premissas!$B$47*Unitário!$B$22*D40</f>
        <v>-0</v>
      </c>
      <c r="G40" s="12" t="n">
        <f aca="false">IF($A40-(Premissas!$B$42)&gt;=1,INDEX($D$5:$D$94,$A40-(Premissas!$B$42)),0)*(Premissas!$B$47*Unitário!$B$22*(Premissas!$B$16+Premissas!$B$17)-Premissas!$B$48*Unitário!$B$24)</f>
        <v>-0</v>
      </c>
      <c r="H40" s="12" t="n">
        <f aca="false">IF($A40-(Premissas!$B$42+Premissas!$B$43)&gt;=1,INDEX($D$5:$D$94,$A40-(Premissas!$B$42+Premissas!$B$43)),0)*(Unitário!$B$21*Premissas!$B$39-(1-Premissas!$B$48)*Unitário!$B$24-(1-Premissas!$B$47)*Unitário!$B$21*Unitário!$B$22)</f>
        <v>1327.578</v>
      </c>
      <c r="I40" s="12" t="n">
        <f aca="false">IF($A40-(Premissas!$B$44)&gt;=1,INDEX($E$5:$E$94,$A40-(Premissas!$B$44)),0)*(Premissas!$B$40-Unitário!$B$25)</f>
        <v>0</v>
      </c>
      <c r="J40" s="12" t="n">
        <f aca="false">E40*(-Premissas!$B$47*Unitário!$B$22-(1-Premissas!$B$17)*Premissas!$B$21)</f>
        <v>-0</v>
      </c>
      <c r="K40" s="12" t="n">
        <f aca="false">IF($A40-(Premissas!$B$45)&gt;=1,INDEX($E$5:$E$94,$A40-(Premissas!$B$45)),0)*Premissas!$B$17*(-Premissas!$B$40-Premissas!$B$29+Premissas!$B$47*Unitário!$B$22)</f>
        <v>-67.146</v>
      </c>
      <c r="L40" s="12" t="n">
        <f aca="false">-Premissas!$B$30*(IF($A40-(Premissas!$B$42+Premissas!$B$43)&gt;=1,INDEX($D$5:$D$94,$A40-(Premissas!$B$42+Premissas!$B$43)),0)*Unitário!$B$21*Premissas!$B$39+IF($A40-(Premissas!$B$44)&gt;=1,INDEX($E$5:$E$94,$A40-(Premissas!$B$44)),0)*(1-Premissas!$B$17)*Premissas!$B$40)</f>
        <v>-0</v>
      </c>
      <c r="M40" s="12" t="n">
        <f aca="false">-Premissas!$B$31</f>
        <v>-0</v>
      </c>
      <c r="N40" s="12" t="n">
        <f aca="false">B40+C40+F40+G40+H40+I40+J40+K40+L40+M40</f>
        <v>1260.432</v>
      </c>
      <c r="O40" s="12" t="n">
        <f aca="false">O39+N40</f>
        <v>5910.069504</v>
      </c>
      <c r="P40" s="15" t="n">
        <f aca="false">IF(AND($A40&gt;$B$100,O40&gt;=0),1,0)</f>
        <v>1</v>
      </c>
    </row>
    <row r="41" customFormat="false" ht="15" hidden="false" customHeight="false" outlineLevel="0" collapsed="false">
      <c r="A41" s="15" t="n">
        <v>37</v>
      </c>
      <c r="B41" s="12" t="n">
        <f aca="false">IF($A41&lt;=Premissas!$B$7,-Premissas!$B$6,0)</f>
        <v>0</v>
      </c>
      <c r="C41" s="12" t="n">
        <f aca="false">-(IF($A41&lt;=Premissas!$B$7,Unitário!$B$26*Premissas!$B$10,0)+(D41+E41)*Premissas!$B$11)</f>
        <v>-0</v>
      </c>
      <c r="D41" s="27" t="n">
        <f aca="false">IF($A41&lt;=Premissas!$B$7,Unitário!$B$27*Premissas!$B$13,0)</f>
        <v>0</v>
      </c>
      <c r="E41" s="27" t="n">
        <f aca="false">IF($A41&lt;=Premissas!$B$7,Unitário!$B$27*Premissas!$B$14,0)</f>
        <v>0</v>
      </c>
      <c r="F41" s="12" t="n">
        <f aca="false">-Premissas!$B$47*Unitário!$B$22*D41</f>
        <v>-0</v>
      </c>
      <c r="G41" s="12" t="n">
        <f aca="false">IF($A41-(Premissas!$B$42)&gt;=1,INDEX($D$5:$D$94,$A41-(Premissas!$B$42)),0)*(Premissas!$B$47*Unitário!$B$22*(Premissas!$B$16+Premissas!$B$17)-Premissas!$B$48*Unitário!$B$24)</f>
        <v>-0</v>
      </c>
      <c r="H41" s="12" t="n">
        <f aca="false">IF($A41-(Premissas!$B$42+Premissas!$B$43)&gt;=1,INDEX($D$5:$D$94,$A41-(Premissas!$B$42+Premissas!$B$43)),0)*(Unitário!$B$21*Premissas!$B$39-(1-Premissas!$B$48)*Unitário!$B$24-(1-Premissas!$B$47)*Unitário!$B$21*Unitário!$B$22)</f>
        <v>1327.578</v>
      </c>
      <c r="I41" s="12" t="n">
        <f aca="false">IF($A41-(Premissas!$B$44)&gt;=1,INDEX($E$5:$E$94,$A41-(Premissas!$B$44)),0)*(Premissas!$B$40-Unitário!$B$25)</f>
        <v>0</v>
      </c>
      <c r="J41" s="12" t="n">
        <f aca="false">E41*(-Premissas!$B$47*Unitário!$B$22-(1-Premissas!$B$17)*Premissas!$B$21)</f>
        <v>-0</v>
      </c>
      <c r="K41" s="12" t="n">
        <f aca="false">IF($A41-(Premissas!$B$45)&gt;=1,INDEX($E$5:$E$94,$A41-(Premissas!$B$45)),0)*Premissas!$B$17*(-Premissas!$B$40-Premissas!$B$29+Premissas!$B$47*Unitário!$B$22)</f>
        <v>-67.146</v>
      </c>
      <c r="L41" s="12" t="n">
        <f aca="false">-Premissas!$B$30*(IF($A41-(Premissas!$B$42+Premissas!$B$43)&gt;=1,INDEX($D$5:$D$94,$A41-(Premissas!$B$42+Premissas!$B$43)),0)*Unitário!$B$21*Premissas!$B$39+IF($A41-(Premissas!$B$44)&gt;=1,INDEX($E$5:$E$94,$A41-(Premissas!$B$44)),0)*(1-Premissas!$B$17)*Premissas!$B$40)</f>
        <v>-0</v>
      </c>
      <c r="M41" s="12" t="n">
        <f aca="false">-Premissas!$B$31</f>
        <v>-0</v>
      </c>
      <c r="N41" s="12" t="n">
        <f aca="false">B41+C41+F41+G41+H41+I41+J41+K41+L41+M41</f>
        <v>1260.432</v>
      </c>
      <c r="O41" s="12" t="n">
        <f aca="false">O40+N41</f>
        <v>7170.501504</v>
      </c>
      <c r="P41" s="15" t="n">
        <f aca="false">IF(AND($A41&gt;$B$100,O41&gt;=0),1,0)</f>
        <v>1</v>
      </c>
    </row>
    <row r="42" customFormat="false" ht="15" hidden="false" customHeight="false" outlineLevel="0" collapsed="false">
      <c r="A42" s="15" t="n">
        <v>38</v>
      </c>
      <c r="B42" s="12" t="n">
        <f aca="false">IF($A42&lt;=Premissas!$B$7,-Premissas!$B$6,0)</f>
        <v>0</v>
      </c>
      <c r="C42" s="12" t="n">
        <f aca="false">-(IF($A42&lt;=Premissas!$B$7,Unitário!$B$26*Premissas!$B$10,0)+(D42+E42)*Premissas!$B$11)</f>
        <v>-0</v>
      </c>
      <c r="D42" s="27" t="n">
        <f aca="false">IF($A42&lt;=Premissas!$B$7,Unitário!$B$27*Premissas!$B$13,0)</f>
        <v>0</v>
      </c>
      <c r="E42" s="27" t="n">
        <f aca="false">IF($A42&lt;=Premissas!$B$7,Unitário!$B$27*Premissas!$B$14,0)</f>
        <v>0</v>
      </c>
      <c r="F42" s="12" t="n">
        <f aca="false">-Premissas!$B$47*Unitário!$B$22*D42</f>
        <v>-0</v>
      </c>
      <c r="G42" s="12" t="n">
        <f aca="false">IF($A42-(Premissas!$B$42)&gt;=1,INDEX($D$5:$D$94,$A42-(Premissas!$B$42)),0)*(Premissas!$B$47*Unitário!$B$22*(Premissas!$B$16+Premissas!$B$17)-Premissas!$B$48*Unitário!$B$24)</f>
        <v>-0</v>
      </c>
      <c r="H42" s="12" t="n">
        <f aca="false">IF($A42-(Premissas!$B$42+Premissas!$B$43)&gt;=1,INDEX($D$5:$D$94,$A42-(Premissas!$B$42+Premissas!$B$43)),0)*(Unitário!$B$21*Premissas!$B$39-(1-Premissas!$B$48)*Unitário!$B$24-(1-Premissas!$B$47)*Unitário!$B$21*Unitário!$B$22)</f>
        <v>1327.578</v>
      </c>
      <c r="I42" s="12" t="n">
        <f aca="false">IF($A42-(Premissas!$B$44)&gt;=1,INDEX($E$5:$E$94,$A42-(Premissas!$B$44)),0)*(Premissas!$B$40-Unitário!$B$25)</f>
        <v>0</v>
      </c>
      <c r="J42" s="12" t="n">
        <f aca="false">E42*(-Premissas!$B$47*Unitário!$B$22-(1-Premissas!$B$17)*Premissas!$B$21)</f>
        <v>-0</v>
      </c>
      <c r="K42" s="12" t="n">
        <f aca="false">IF($A42-(Premissas!$B$45)&gt;=1,INDEX($E$5:$E$94,$A42-(Premissas!$B$45)),0)*Premissas!$B$17*(-Premissas!$B$40-Premissas!$B$29+Premissas!$B$47*Unitário!$B$22)</f>
        <v>-0</v>
      </c>
      <c r="L42" s="12" t="n">
        <f aca="false">-Premissas!$B$30*(IF($A42-(Premissas!$B$42+Premissas!$B$43)&gt;=1,INDEX($D$5:$D$94,$A42-(Premissas!$B$42+Premissas!$B$43)),0)*Unitário!$B$21*Premissas!$B$39+IF($A42-(Premissas!$B$44)&gt;=1,INDEX($E$5:$E$94,$A42-(Premissas!$B$44)),0)*(1-Premissas!$B$17)*Premissas!$B$40)</f>
        <v>-0</v>
      </c>
      <c r="M42" s="12" t="n">
        <f aca="false">-Premissas!$B$31</f>
        <v>-0</v>
      </c>
      <c r="N42" s="12" t="n">
        <f aca="false">B42+C42+F42+G42+H42+I42+J42+K42+L42+M42</f>
        <v>1327.578</v>
      </c>
      <c r="O42" s="12" t="n">
        <f aca="false">O41+N42</f>
        <v>8498.079504</v>
      </c>
      <c r="P42" s="15" t="n">
        <f aca="false">IF(AND($A42&gt;$B$100,O42&gt;=0),1,0)</f>
        <v>1</v>
      </c>
    </row>
    <row r="43" customFormat="false" ht="15" hidden="false" customHeight="false" outlineLevel="0" collapsed="false">
      <c r="A43" s="15" t="n">
        <v>39</v>
      </c>
      <c r="B43" s="12" t="n">
        <f aca="false">IF($A43&lt;=Premissas!$B$7,-Premissas!$B$6,0)</f>
        <v>0</v>
      </c>
      <c r="C43" s="12" t="n">
        <f aca="false">-(IF($A43&lt;=Premissas!$B$7,Unitário!$B$26*Premissas!$B$10,0)+(D43+E43)*Premissas!$B$11)</f>
        <v>-0</v>
      </c>
      <c r="D43" s="27" t="n">
        <f aca="false">IF($A43&lt;=Premissas!$B$7,Unitário!$B$27*Premissas!$B$13,0)</f>
        <v>0</v>
      </c>
      <c r="E43" s="27" t="n">
        <f aca="false">IF($A43&lt;=Premissas!$B$7,Unitário!$B$27*Premissas!$B$14,0)</f>
        <v>0</v>
      </c>
      <c r="F43" s="12" t="n">
        <f aca="false">-Premissas!$B$47*Unitário!$B$22*D43</f>
        <v>-0</v>
      </c>
      <c r="G43" s="12" t="n">
        <f aca="false">IF($A43-(Premissas!$B$42)&gt;=1,INDEX($D$5:$D$94,$A43-(Premissas!$B$42)),0)*(Premissas!$B$47*Unitário!$B$22*(Premissas!$B$16+Premissas!$B$17)-Premissas!$B$48*Unitário!$B$24)</f>
        <v>-0</v>
      </c>
      <c r="H43" s="12" t="n">
        <f aca="false">IF($A43-(Premissas!$B$42+Premissas!$B$43)&gt;=1,INDEX($D$5:$D$94,$A43-(Premissas!$B$42+Premissas!$B$43)),0)*(Unitário!$B$21*Premissas!$B$39-(1-Premissas!$B$48)*Unitário!$B$24-(1-Premissas!$B$47)*Unitário!$B$21*Unitário!$B$22)</f>
        <v>1327.578</v>
      </c>
      <c r="I43" s="12" t="n">
        <f aca="false">IF($A43-(Premissas!$B$44)&gt;=1,INDEX($E$5:$E$94,$A43-(Premissas!$B$44)),0)*(Premissas!$B$40-Unitário!$B$25)</f>
        <v>0</v>
      </c>
      <c r="J43" s="12" t="n">
        <f aca="false">E43*(-Premissas!$B$47*Unitário!$B$22-(1-Premissas!$B$17)*Premissas!$B$21)</f>
        <v>-0</v>
      </c>
      <c r="K43" s="12" t="n">
        <f aca="false">IF($A43-(Premissas!$B$45)&gt;=1,INDEX($E$5:$E$94,$A43-(Premissas!$B$45)),0)*Premissas!$B$17*(-Premissas!$B$40-Premissas!$B$29+Premissas!$B$47*Unitário!$B$22)</f>
        <v>-0</v>
      </c>
      <c r="L43" s="12" t="n">
        <f aca="false">-Premissas!$B$30*(IF($A43-(Premissas!$B$42+Premissas!$B$43)&gt;=1,INDEX($D$5:$D$94,$A43-(Premissas!$B$42+Premissas!$B$43)),0)*Unitário!$B$21*Premissas!$B$39+IF($A43-(Premissas!$B$44)&gt;=1,INDEX($E$5:$E$94,$A43-(Premissas!$B$44)),0)*(1-Premissas!$B$17)*Premissas!$B$40)</f>
        <v>-0</v>
      </c>
      <c r="M43" s="12" t="n">
        <f aca="false">-Premissas!$B$31</f>
        <v>-0</v>
      </c>
      <c r="N43" s="12" t="n">
        <f aca="false">B43+C43+F43+G43+H43+I43+J43+K43+L43+M43</f>
        <v>1327.578</v>
      </c>
      <c r="O43" s="12" t="n">
        <f aca="false">O42+N43</f>
        <v>9825.657504</v>
      </c>
      <c r="P43" s="15" t="n">
        <f aca="false">IF(AND($A43&gt;$B$100,O43&gt;=0),1,0)</f>
        <v>1</v>
      </c>
    </row>
    <row r="44" customFormat="false" ht="15" hidden="false" customHeight="false" outlineLevel="0" collapsed="false">
      <c r="A44" s="15" t="n">
        <v>40</v>
      </c>
      <c r="B44" s="12" t="n">
        <f aca="false">IF($A44&lt;=Premissas!$B$7,-Premissas!$B$6,0)</f>
        <v>0</v>
      </c>
      <c r="C44" s="12" t="n">
        <f aca="false">-(IF($A44&lt;=Premissas!$B$7,Unitário!$B$26*Premissas!$B$10,0)+(D44+E44)*Premissas!$B$11)</f>
        <v>-0</v>
      </c>
      <c r="D44" s="27" t="n">
        <f aca="false">IF($A44&lt;=Premissas!$B$7,Unitário!$B$27*Premissas!$B$13,0)</f>
        <v>0</v>
      </c>
      <c r="E44" s="27" t="n">
        <f aca="false">IF($A44&lt;=Premissas!$B$7,Unitário!$B$27*Premissas!$B$14,0)</f>
        <v>0</v>
      </c>
      <c r="F44" s="12" t="n">
        <f aca="false">-Premissas!$B$47*Unitário!$B$22*D44</f>
        <v>-0</v>
      </c>
      <c r="G44" s="12" t="n">
        <f aca="false">IF($A44-(Premissas!$B$42)&gt;=1,INDEX($D$5:$D$94,$A44-(Premissas!$B$42)),0)*(Premissas!$B$47*Unitário!$B$22*(Premissas!$B$16+Premissas!$B$17)-Premissas!$B$48*Unitário!$B$24)</f>
        <v>-0</v>
      </c>
      <c r="H44" s="12" t="n">
        <f aca="false">IF($A44-(Premissas!$B$42+Premissas!$B$43)&gt;=1,INDEX($D$5:$D$94,$A44-(Premissas!$B$42+Premissas!$B$43)),0)*(Unitário!$B$21*Premissas!$B$39-(1-Premissas!$B$48)*Unitário!$B$24-(1-Premissas!$B$47)*Unitário!$B$21*Unitário!$B$22)</f>
        <v>1327.578</v>
      </c>
      <c r="I44" s="12" t="n">
        <f aca="false">IF($A44-(Premissas!$B$44)&gt;=1,INDEX($E$5:$E$94,$A44-(Premissas!$B$44)),0)*(Premissas!$B$40-Unitário!$B$25)</f>
        <v>0</v>
      </c>
      <c r="J44" s="12" t="n">
        <f aca="false">E44*(-Premissas!$B$47*Unitário!$B$22-(1-Premissas!$B$17)*Premissas!$B$21)</f>
        <v>-0</v>
      </c>
      <c r="K44" s="12" t="n">
        <f aca="false">IF($A44-(Premissas!$B$45)&gt;=1,INDEX($E$5:$E$94,$A44-(Premissas!$B$45)),0)*Premissas!$B$17*(-Premissas!$B$40-Premissas!$B$29+Premissas!$B$47*Unitário!$B$22)</f>
        <v>-0</v>
      </c>
      <c r="L44" s="12" t="n">
        <f aca="false">-Premissas!$B$30*(IF($A44-(Premissas!$B$42+Premissas!$B$43)&gt;=1,INDEX($D$5:$D$94,$A44-(Premissas!$B$42+Premissas!$B$43)),0)*Unitário!$B$21*Premissas!$B$39+IF($A44-(Premissas!$B$44)&gt;=1,INDEX($E$5:$E$94,$A44-(Premissas!$B$44)),0)*(1-Premissas!$B$17)*Premissas!$B$40)</f>
        <v>-0</v>
      </c>
      <c r="M44" s="12" t="n">
        <f aca="false">-Premissas!$B$31</f>
        <v>-0</v>
      </c>
      <c r="N44" s="12" t="n">
        <f aca="false">B44+C44+F44+G44+H44+I44+J44+K44+L44+M44</f>
        <v>1327.578</v>
      </c>
      <c r="O44" s="12" t="n">
        <f aca="false">O43+N44</f>
        <v>11153.235504</v>
      </c>
      <c r="P44" s="15" t="n">
        <f aca="false">IF(AND($A44&gt;$B$100,O44&gt;=0),1,0)</f>
        <v>1</v>
      </c>
    </row>
    <row r="45" customFormat="false" ht="15" hidden="false" customHeight="false" outlineLevel="0" collapsed="false">
      <c r="A45" s="15" t="n">
        <v>41</v>
      </c>
      <c r="B45" s="12" t="n">
        <f aca="false">IF($A45&lt;=Premissas!$B$7,-Premissas!$B$6,0)</f>
        <v>0</v>
      </c>
      <c r="C45" s="12" t="n">
        <f aca="false">-(IF($A45&lt;=Premissas!$B$7,Unitário!$B$26*Premissas!$B$10,0)+(D45+E45)*Premissas!$B$11)</f>
        <v>-0</v>
      </c>
      <c r="D45" s="27" t="n">
        <f aca="false">IF($A45&lt;=Premissas!$B$7,Unitário!$B$27*Premissas!$B$13,0)</f>
        <v>0</v>
      </c>
      <c r="E45" s="27" t="n">
        <f aca="false">IF($A45&lt;=Premissas!$B$7,Unitário!$B$27*Premissas!$B$14,0)</f>
        <v>0</v>
      </c>
      <c r="F45" s="12" t="n">
        <f aca="false">-Premissas!$B$47*Unitário!$B$22*D45</f>
        <v>-0</v>
      </c>
      <c r="G45" s="12" t="n">
        <f aca="false">IF($A45-(Premissas!$B$42)&gt;=1,INDEX($D$5:$D$94,$A45-(Premissas!$B$42)),0)*(Premissas!$B$47*Unitário!$B$22*(Premissas!$B$16+Premissas!$B$17)-Premissas!$B$48*Unitário!$B$24)</f>
        <v>-0</v>
      </c>
      <c r="H45" s="12" t="n">
        <f aca="false">IF($A45-(Premissas!$B$42+Premissas!$B$43)&gt;=1,INDEX($D$5:$D$94,$A45-(Premissas!$B$42+Premissas!$B$43)),0)*(Unitário!$B$21*Premissas!$B$39-(1-Premissas!$B$48)*Unitário!$B$24-(1-Premissas!$B$47)*Unitário!$B$21*Unitário!$B$22)</f>
        <v>1327.578</v>
      </c>
      <c r="I45" s="12" t="n">
        <f aca="false">IF($A45-(Premissas!$B$44)&gt;=1,INDEX($E$5:$E$94,$A45-(Premissas!$B$44)),0)*(Premissas!$B$40-Unitário!$B$25)</f>
        <v>0</v>
      </c>
      <c r="J45" s="12" t="n">
        <f aca="false">E45*(-Premissas!$B$47*Unitário!$B$22-(1-Premissas!$B$17)*Premissas!$B$21)</f>
        <v>-0</v>
      </c>
      <c r="K45" s="12" t="n">
        <f aca="false">IF($A45-(Premissas!$B$45)&gt;=1,INDEX($E$5:$E$94,$A45-(Premissas!$B$45)),0)*Premissas!$B$17*(-Premissas!$B$40-Premissas!$B$29+Premissas!$B$47*Unitário!$B$22)</f>
        <v>-0</v>
      </c>
      <c r="L45" s="12" t="n">
        <f aca="false">-Premissas!$B$30*(IF($A45-(Premissas!$B$42+Premissas!$B$43)&gt;=1,INDEX($D$5:$D$94,$A45-(Premissas!$B$42+Premissas!$B$43)),0)*Unitário!$B$21*Premissas!$B$39+IF($A45-(Premissas!$B$44)&gt;=1,INDEX($E$5:$E$94,$A45-(Premissas!$B$44)),0)*(1-Premissas!$B$17)*Premissas!$B$40)</f>
        <v>-0</v>
      </c>
      <c r="M45" s="12" t="n">
        <f aca="false">-Premissas!$B$31</f>
        <v>-0</v>
      </c>
      <c r="N45" s="12" t="n">
        <f aca="false">B45+C45+F45+G45+H45+I45+J45+K45+L45+M45</f>
        <v>1327.578</v>
      </c>
      <c r="O45" s="12" t="n">
        <f aca="false">O44+N45</f>
        <v>12480.813504</v>
      </c>
      <c r="P45" s="15" t="n">
        <f aca="false">IF(AND($A45&gt;$B$100,O45&gt;=0),1,0)</f>
        <v>1</v>
      </c>
    </row>
    <row r="46" customFormat="false" ht="15" hidden="false" customHeight="false" outlineLevel="0" collapsed="false">
      <c r="A46" s="15" t="n">
        <v>42</v>
      </c>
      <c r="B46" s="12" t="n">
        <f aca="false">IF($A46&lt;=Premissas!$B$7,-Premissas!$B$6,0)</f>
        <v>0</v>
      </c>
      <c r="C46" s="12" t="n">
        <f aca="false">-(IF($A46&lt;=Premissas!$B$7,Unitário!$B$26*Premissas!$B$10,0)+(D46+E46)*Premissas!$B$11)</f>
        <v>-0</v>
      </c>
      <c r="D46" s="27" t="n">
        <f aca="false">IF($A46&lt;=Premissas!$B$7,Unitário!$B$27*Premissas!$B$13,0)</f>
        <v>0</v>
      </c>
      <c r="E46" s="27" t="n">
        <f aca="false">IF($A46&lt;=Premissas!$B$7,Unitário!$B$27*Premissas!$B$14,0)</f>
        <v>0</v>
      </c>
      <c r="F46" s="12" t="n">
        <f aca="false">-Premissas!$B$47*Unitário!$B$22*D46</f>
        <v>-0</v>
      </c>
      <c r="G46" s="12" t="n">
        <f aca="false">IF($A46-(Premissas!$B$42)&gt;=1,INDEX($D$5:$D$94,$A46-(Premissas!$B$42)),0)*(Premissas!$B$47*Unitário!$B$22*(Premissas!$B$16+Premissas!$B$17)-Premissas!$B$48*Unitário!$B$24)</f>
        <v>-0</v>
      </c>
      <c r="H46" s="12" t="n">
        <f aca="false">IF($A46-(Premissas!$B$42+Premissas!$B$43)&gt;=1,INDEX($D$5:$D$94,$A46-(Premissas!$B$42+Premissas!$B$43)),0)*(Unitário!$B$21*Premissas!$B$39-(1-Premissas!$B$48)*Unitário!$B$24-(1-Premissas!$B$47)*Unitário!$B$21*Unitário!$B$22)</f>
        <v>1327.578</v>
      </c>
      <c r="I46" s="12" t="n">
        <f aca="false">IF($A46-(Premissas!$B$44)&gt;=1,INDEX($E$5:$E$94,$A46-(Premissas!$B$44)),0)*(Premissas!$B$40-Unitário!$B$25)</f>
        <v>0</v>
      </c>
      <c r="J46" s="12" t="n">
        <f aca="false">E46*(-Premissas!$B$47*Unitário!$B$22-(1-Premissas!$B$17)*Premissas!$B$21)</f>
        <v>-0</v>
      </c>
      <c r="K46" s="12" t="n">
        <f aca="false">IF($A46-(Premissas!$B$45)&gt;=1,INDEX($E$5:$E$94,$A46-(Premissas!$B$45)),0)*Premissas!$B$17*(-Premissas!$B$40-Premissas!$B$29+Premissas!$B$47*Unitário!$B$22)</f>
        <v>-0</v>
      </c>
      <c r="L46" s="12" t="n">
        <f aca="false">-Premissas!$B$30*(IF($A46-(Premissas!$B$42+Premissas!$B$43)&gt;=1,INDEX($D$5:$D$94,$A46-(Premissas!$B$42+Premissas!$B$43)),0)*Unitário!$B$21*Premissas!$B$39+IF($A46-(Premissas!$B$44)&gt;=1,INDEX($E$5:$E$94,$A46-(Premissas!$B$44)),0)*(1-Premissas!$B$17)*Premissas!$B$40)</f>
        <v>-0</v>
      </c>
      <c r="M46" s="12" t="n">
        <f aca="false">-Premissas!$B$31</f>
        <v>-0</v>
      </c>
      <c r="N46" s="12" t="n">
        <f aca="false">B46+C46+F46+G46+H46+I46+J46+K46+L46+M46</f>
        <v>1327.578</v>
      </c>
      <c r="O46" s="12" t="n">
        <f aca="false">O45+N46</f>
        <v>13808.391504</v>
      </c>
      <c r="P46" s="15" t="n">
        <f aca="false">IF(AND($A46&gt;$B$100,O46&gt;=0),1,0)</f>
        <v>1</v>
      </c>
    </row>
    <row r="47" customFormat="false" ht="15" hidden="false" customHeight="false" outlineLevel="0" collapsed="false">
      <c r="A47" s="15" t="n">
        <v>43</v>
      </c>
      <c r="B47" s="12" t="n">
        <f aca="false">IF($A47&lt;=Premissas!$B$7,-Premissas!$B$6,0)</f>
        <v>0</v>
      </c>
      <c r="C47" s="12" t="n">
        <f aca="false">-(IF($A47&lt;=Premissas!$B$7,Unitário!$B$26*Premissas!$B$10,0)+(D47+E47)*Premissas!$B$11)</f>
        <v>-0</v>
      </c>
      <c r="D47" s="27" t="n">
        <f aca="false">IF($A47&lt;=Premissas!$B$7,Unitário!$B$27*Premissas!$B$13,0)</f>
        <v>0</v>
      </c>
      <c r="E47" s="27" t="n">
        <f aca="false">IF($A47&lt;=Premissas!$B$7,Unitário!$B$27*Premissas!$B$14,0)</f>
        <v>0</v>
      </c>
      <c r="F47" s="12" t="n">
        <f aca="false">-Premissas!$B$47*Unitário!$B$22*D47</f>
        <v>-0</v>
      </c>
      <c r="G47" s="12" t="n">
        <f aca="false">IF($A47-(Premissas!$B$42)&gt;=1,INDEX($D$5:$D$94,$A47-(Premissas!$B$42)),0)*(Premissas!$B$47*Unitário!$B$22*(Premissas!$B$16+Premissas!$B$17)-Premissas!$B$48*Unitário!$B$24)</f>
        <v>-0</v>
      </c>
      <c r="H47" s="12" t="n">
        <f aca="false">IF($A47-(Premissas!$B$42+Premissas!$B$43)&gt;=1,INDEX($D$5:$D$94,$A47-(Premissas!$B$42+Premissas!$B$43)),0)*(Unitário!$B$21*Premissas!$B$39-(1-Premissas!$B$48)*Unitário!$B$24-(1-Premissas!$B$47)*Unitário!$B$21*Unitário!$B$22)</f>
        <v>1327.578</v>
      </c>
      <c r="I47" s="12" t="n">
        <f aca="false">IF($A47-(Premissas!$B$44)&gt;=1,INDEX($E$5:$E$94,$A47-(Premissas!$B$44)),0)*(Premissas!$B$40-Unitário!$B$25)</f>
        <v>0</v>
      </c>
      <c r="J47" s="12" t="n">
        <f aca="false">E47*(-Premissas!$B$47*Unitário!$B$22-(1-Premissas!$B$17)*Premissas!$B$21)</f>
        <v>-0</v>
      </c>
      <c r="K47" s="12" t="n">
        <f aca="false">IF($A47-(Premissas!$B$45)&gt;=1,INDEX($E$5:$E$94,$A47-(Premissas!$B$45)),0)*Premissas!$B$17*(-Premissas!$B$40-Premissas!$B$29+Premissas!$B$47*Unitário!$B$22)</f>
        <v>-0</v>
      </c>
      <c r="L47" s="12" t="n">
        <f aca="false">-Premissas!$B$30*(IF($A47-(Premissas!$B$42+Premissas!$B$43)&gt;=1,INDEX($D$5:$D$94,$A47-(Premissas!$B$42+Premissas!$B$43)),0)*Unitário!$B$21*Premissas!$B$39+IF($A47-(Premissas!$B$44)&gt;=1,INDEX($E$5:$E$94,$A47-(Premissas!$B$44)),0)*(1-Premissas!$B$17)*Premissas!$B$40)</f>
        <v>-0</v>
      </c>
      <c r="M47" s="12" t="n">
        <f aca="false">-Premissas!$B$31</f>
        <v>-0</v>
      </c>
      <c r="N47" s="12" t="n">
        <f aca="false">B47+C47+F47+G47+H47+I47+J47+K47+L47+M47</f>
        <v>1327.578</v>
      </c>
      <c r="O47" s="12" t="n">
        <f aca="false">O46+N47</f>
        <v>15135.969504</v>
      </c>
      <c r="P47" s="15" t="n">
        <f aca="false">IF(AND($A47&gt;$B$100,O47&gt;=0),1,0)</f>
        <v>1</v>
      </c>
    </row>
    <row r="48" customFormat="false" ht="15" hidden="false" customHeight="false" outlineLevel="0" collapsed="false">
      <c r="A48" s="15" t="n">
        <v>44</v>
      </c>
      <c r="B48" s="12" t="n">
        <f aca="false">IF($A48&lt;=Premissas!$B$7,-Premissas!$B$6,0)</f>
        <v>0</v>
      </c>
      <c r="C48" s="12" t="n">
        <f aca="false">-(IF($A48&lt;=Premissas!$B$7,Unitário!$B$26*Premissas!$B$10,0)+(D48+E48)*Premissas!$B$11)</f>
        <v>-0</v>
      </c>
      <c r="D48" s="27" t="n">
        <f aca="false">IF($A48&lt;=Premissas!$B$7,Unitário!$B$27*Premissas!$B$13,0)</f>
        <v>0</v>
      </c>
      <c r="E48" s="27" t="n">
        <f aca="false">IF($A48&lt;=Premissas!$B$7,Unitário!$B$27*Premissas!$B$14,0)</f>
        <v>0</v>
      </c>
      <c r="F48" s="12" t="n">
        <f aca="false">-Premissas!$B$47*Unitário!$B$22*D48</f>
        <v>-0</v>
      </c>
      <c r="G48" s="12" t="n">
        <f aca="false">IF($A48-(Premissas!$B$42)&gt;=1,INDEX($D$5:$D$94,$A48-(Premissas!$B$42)),0)*(Premissas!$B$47*Unitário!$B$22*(Premissas!$B$16+Premissas!$B$17)-Premissas!$B$48*Unitário!$B$24)</f>
        <v>-0</v>
      </c>
      <c r="H48" s="12" t="n">
        <f aca="false">IF($A48-(Premissas!$B$42+Premissas!$B$43)&gt;=1,INDEX($D$5:$D$94,$A48-(Premissas!$B$42+Premissas!$B$43)),0)*(Unitário!$B$21*Premissas!$B$39-(1-Premissas!$B$48)*Unitário!$B$24-(1-Premissas!$B$47)*Unitário!$B$21*Unitário!$B$22)</f>
        <v>1327.578</v>
      </c>
      <c r="I48" s="12" t="n">
        <f aca="false">IF($A48-(Premissas!$B$44)&gt;=1,INDEX($E$5:$E$94,$A48-(Premissas!$B$44)),0)*(Premissas!$B$40-Unitário!$B$25)</f>
        <v>0</v>
      </c>
      <c r="J48" s="12" t="n">
        <f aca="false">E48*(-Premissas!$B$47*Unitário!$B$22-(1-Premissas!$B$17)*Premissas!$B$21)</f>
        <v>-0</v>
      </c>
      <c r="K48" s="12" t="n">
        <f aca="false">IF($A48-(Premissas!$B$45)&gt;=1,INDEX($E$5:$E$94,$A48-(Premissas!$B$45)),0)*Premissas!$B$17*(-Premissas!$B$40-Premissas!$B$29+Premissas!$B$47*Unitário!$B$22)</f>
        <v>-0</v>
      </c>
      <c r="L48" s="12" t="n">
        <f aca="false">-Premissas!$B$30*(IF($A48-(Premissas!$B$42+Premissas!$B$43)&gt;=1,INDEX($D$5:$D$94,$A48-(Premissas!$B$42+Premissas!$B$43)),0)*Unitário!$B$21*Premissas!$B$39+IF($A48-(Premissas!$B$44)&gt;=1,INDEX($E$5:$E$94,$A48-(Premissas!$B$44)),0)*(1-Premissas!$B$17)*Premissas!$B$40)</f>
        <v>-0</v>
      </c>
      <c r="M48" s="12" t="n">
        <f aca="false">-Premissas!$B$31</f>
        <v>-0</v>
      </c>
      <c r="N48" s="12" t="n">
        <f aca="false">B48+C48+F48+G48+H48+I48+J48+K48+L48+M48</f>
        <v>1327.578</v>
      </c>
      <c r="O48" s="12" t="n">
        <f aca="false">O47+N48</f>
        <v>16463.547504</v>
      </c>
      <c r="P48" s="15" t="n">
        <f aca="false">IF(AND($A48&gt;$B$100,O48&gt;=0),1,0)</f>
        <v>1</v>
      </c>
    </row>
    <row r="49" customFormat="false" ht="15" hidden="false" customHeight="false" outlineLevel="0" collapsed="false">
      <c r="A49" s="15" t="n">
        <v>45</v>
      </c>
      <c r="B49" s="12" t="n">
        <f aca="false">IF($A49&lt;=Premissas!$B$7,-Premissas!$B$6,0)</f>
        <v>0</v>
      </c>
      <c r="C49" s="12" t="n">
        <f aca="false">-(IF($A49&lt;=Premissas!$B$7,Unitário!$B$26*Premissas!$B$10,0)+(D49+E49)*Premissas!$B$11)</f>
        <v>-0</v>
      </c>
      <c r="D49" s="27" t="n">
        <f aca="false">IF($A49&lt;=Premissas!$B$7,Unitário!$B$27*Premissas!$B$13,0)</f>
        <v>0</v>
      </c>
      <c r="E49" s="27" t="n">
        <f aca="false">IF($A49&lt;=Premissas!$B$7,Unitário!$B$27*Premissas!$B$14,0)</f>
        <v>0</v>
      </c>
      <c r="F49" s="12" t="n">
        <f aca="false">-Premissas!$B$47*Unitário!$B$22*D49</f>
        <v>-0</v>
      </c>
      <c r="G49" s="12" t="n">
        <f aca="false">IF($A49-(Premissas!$B$42)&gt;=1,INDEX($D$5:$D$94,$A49-(Premissas!$B$42)),0)*(Premissas!$B$47*Unitário!$B$22*(Premissas!$B$16+Premissas!$B$17)-Premissas!$B$48*Unitário!$B$24)</f>
        <v>-0</v>
      </c>
      <c r="H49" s="12" t="n">
        <f aca="false">IF($A49-(Premissas!$B$42+Premissas!$B$43)&gt;=1,INDEX($D$5:$D$94,$A49-(Premissas!$B$42+Premissas!$B$43)),0)*(Unitário!$B$21*Premissas!$B$39-(1-Premissas!$B$48)*Unitário!$B$24-(1-Premissas!$B$47)*Unitário!$B$21*Unitário!$B$22)</f>
        <v>1327.578</v>
      </c>
      <c r="I49" s="12" t="n">
        <f aca="false">IF($A49-(Premissas!$B$44)&gt;=1,INDEX($E$5:$E$94,$A49-(Premissas!$B$44)),0)*(Premissas!$B$40-Unitário!$B$25)</f>
        <v>0</v>
      </c>
      <c r="J49" s="12" t="n">
        <f aca="false">E49*(-Premissas!$B$47*Unitário!$B$22-(1-Premissas!$B$17)*Premissas!$B$21)</f>
        <v>-0</v>
      </c>
      <c r="K49" s="12" t="n">
        <f aca="false">IF($A49-(Premissas!$B$45)&gt;=1,INDEX($E$5:$E$94,$A49-(Premissas!$B$45)),0)*Premissas!$B$17*(-Premissas!$B$40-Premissas!$B$29+Premissas!$B$47*Unitário!$B$22)</f>
        <v>-0</v>
      </c>
      <c r="L49" s="12" t="n">
        <f aca="false">-Premissas!$B$30*(IF($A49-(Premissas!$B$42+Premissas!$B$43)&gt;=1,INDEX($D$5:$D$94,$A49-(Premissas!$B$42+Premissas!$B$43)),0)*Unitário!$B$21*Premissas!$B$39+IF($A49-(Premissas!$B$44)&gt;=1,INDEX($E$5:$E$94,$A49-(Premissas!$B$44)),0)*(1-Premissas!$B$17)*Premissas!$B$40)</f>
        <v>-0</v>
      </c>
      <c r="M49" s="12" t="n">
        <f aca="false">-Premissas!$B$31</f>
        <v>-0</v>
      </c>
      <c r="N49" s="12" t="n">
        <f aca="false">B49+C49+F49+G49+H49+I49+J49+K49+L49+M49</f>
        <v>1327.578</v>
      </c>
      <c r="O49" s="12" t="n">
        <f aca="false">O48+N49</f>
        <v>17791.125504</v>
      </c>
      <c r="P49" s="15" t="n">
        <f aca="false">IF(AND($A49&gt;$B$100,O49&gt;=0),1,0)</f>
        <v>1</v>
      </c>
    </row>
    <row r="50" customFormat="false" ht="15" hidden="false" customHeight="false" outlineLevel="0" collapsed="false">
      <c r="A50" s="15" t="n">
        <v>46</v>
      </c>
      <c r="B50" s="12" t="n">
        <f aca="false">IF($A50&lt;=Premissas!$B$7,-Premissas!$B$6,0)</f>
        <v>0</v>
      </c>
      <c r="C50" s="12" t="n">
        <f aca="false">-(IF($A50&lt;=Premissas!$B$7,Unitário!$B$26*Premissas!$B$10,0)+(D50+E50)*Premissas!$B$11)</f>
        <v>-0</v>
      </c>
      <c r="D50" s="27" t="n">
        <f aca="false">IF($A50&lt;=Premissas!$B$7,Unitário!$B$27*Premissas!$B$13,0)</f>
        <v>0</v>
      </c>
      <c r="E50" s="27" t="n">
        <f aca="false">IF($A50&lt;=Premissas!$B$7,Unitário!$B$27*Premissas!$B$14,0)</f>
        <v>0</v>
      </c>
      <c r="F50" s="12" t="n">
        <f aca="false">-Premissas!$B$47*Unitário!$B$22*D50</f>
        <v>-0</v>
      </c>
      <c r="G50" s="12" t="n">
        <f aca="false">IF($A50-(Premissas!$B$42)&gt;=1,INDEX($D$5:$D$94,$A50-(Premissas!$B$42)),0)*(Premissas!$B$47*Unitário!$B$22*(Premissas!$B$16+Premissas!$B$17)-Premissas!$B$48*Unitário!$B$24)</f>
        <v>-0</v>
      </c>
      <c r="H50" s="12" t="n">
        <f aca="false">IF($A50-(Premissas!$B$42+Premissas!$B$43)&gt;=1,INDEX($D$5:$D$94,$A50-(Premissas!$B$42+Premissas!$B$43)),0)*(Unitário!$B$21*Premissas!$B$39-(1-Premissas!$B$48)*Unitário!$B$24-(1-Premissas!$B$47)*Unitário!$B$21*Unitário!$B$22)</f>
        <v>1327.578</v>
      </c>
      <c r="I50" s="12" t="n">
        <f aca="false">IF($A50-(Premissas!$B$44)&gt;=1,INDEX($E$5:$E$94,$A50-(Premissas!$B$44)),0)*(Premissas!$B$40-Unitário!$B$25)</f>
        <v>0</v>
      </c>
      <c r="J50" s="12" t="n">
        <f aca="false">E50*(-Premissas!$B$47*Unitário!$B$22-(1-Premissas!$B$17)*Premissas!$B$21)</f>
        <v>-0</v>
      </c>
      <c r="K50" s="12" t="n">
        <f aca="false">IF($A50-(Premissas!$B$45)&gt;=1,INDEX($E$5:$E$94,$A50-(Premissas!$B$45)),0)*Premissas!$B$17*(-Premissas!$B$40-Premissas!$B$29+Premissas!$B$47*Unitário!$B$22)</f>
        <v>-0</v>
      </c>
      <c r="L50" s="12" t="n">
        <f aca="false">-Premissas!$B$30*(IF($A50-(Premissas!$B$42+Premissas!$B$43)&gt;=1,INDEX($D$5:$D$94,$A50-(Premissas!$B$42+Premissas!$B$43)),0)*Unitário!$B$21*Premissas!$B$39+IF($A50-(Premissas!$B$44)&gt;=1,INDEX($E$5:$E$94,$A50-(Premissas!$B$44)),0)*(1-Premissas!$B$17)*Premissas!$B$40)</f>
        <v>-0</v>
      </c>
      <c r="M50" s="12" t="n">
        <f aca="false">-Premissas!$B$31</f>
        <v>-0</v>
      </c>
      <c r="N50" s="12" t="n">
        <f aca="false">B50+C50+F50+G50+H50+I50+J50+K50+L50+M50</f>
        <v>1327.578</v>
      </c>
      <c r="O50" s="12" t="n">
        <f aca="false">O49+N50</f>
        <v>19118.703504</v>
      </c>
      <c r="P50" s="15" t="n">
        <f aca="false">IF(AND($A50&gt;$B$100,O50&gt;=0),1,0)</f>
        <v>1</v>
      </c>
    </row>
    <row r="51" customFormat="false" ht="15" hidden="false" customHeight="false" outlineLevel="0" collapsed="false">
      <c r="A51" s="15" t="n">
        <v>47</v>
      </c>
      <c r="B51" s="12" t="n">
        <f aca="false">IF($A51&lt;=Premissas!$B$7,-Premissas!$B$6,0)</f>
        <v>0</v>
      </c>
      <c r="C51" s="12" t="n">
        <f aca="false">-(IF($A51&lt;=Premissas!$B$7,Unitário!$B$26*Premissas!$B$10,0)+(D51+E51)*Premissas!$B$11)</f>
        <v>-0</v>
      </c>
      <c r="D51" s="27" t="n">
        <f aca="false">IF($A51&lt;=Premissas!$B$7,Unitário!$B$27*Premissas!$B$13,0)</f>
        <v>0</v>
      </c>
      <c r="E51" s="27" t="n">
        <f aca="false">IF($A51&lt;=Premissas!$B$7,Unitário!$B$27*Premissas!$B$14,0)</f>
        <v>0</v>
      </c>
      <c r="F51" s="12" t="n">
        <f aca="false">-Premissas!$B$47*Unitário!$B$22*D51</f>
        <v>-0</v>
      </c>
      <c r="G51" s="12" t="n">
        <f aca="false">IF($A51-(Premissas!$B$42)&gt;=1,INDEX($D$5:$D$94,$A51-(Premissas!$B$42)),0)*(Premissas!$B$47*Unitário!$B$22*(Premissas!$B$16+Premissas!$B$17)-Premissas!$B$48*Unitário!$B$24)</f>
        <v>-0</v>
      </c>
      <c r="H51" s="12" t="n">
        <f aca="false">IF($A51-(Premissas!$B$42+Premissas!$B$43)&gt;=1,INDEX($D$5:$D$94,$A51-(Premissas!$B$42+Premissas!$B$43)),0)*(Unitário!$B$21*Premissas!$B$39-(1-Premissas!$B$48)*Unitário!$B$24-(1-Premissas!$B$47)*Unitário!$B$21*Unitário!$B$22)</f>
        <v>0</v>
      </c>
      <c r="I51" s="12" t="n">
        <f aca="false">IF($A51-(Premissas!$B$44)&gt;=1,INDEX($E$5:$E$94,$A51-(Premissas!$B$44)),0)*(Premissas!$B$40-Unitário!$B$25)</f>
        <v>0</v>
      </c>
      <c r="J51" s="12" t="n">
        <f aca="false">E51*(-Premissas!$B$47*Unitário!$B$22-(1-Premissas!$B$17)*Premissas!$B$21)</f>
        <v>-0</v>
      </c>
      <c r="K51" s="12" t="n">
        <f aca="false">IF($A51-(Premissas!$B$45)&gt;=1,INDEX($E$5:$E$94,$A51-(Premissas!$B$45)),0)*Premissas!$B$17*(-Premissas!$B$40-Premissas!$B$29+Premissas!$B$47*Unitário!$B$22)</f>
        <v>-0</v>
      </c>
      <c r="L51" s="12" t="n">
        <f aca="false">-Premissas!$B$30*(IF($A51-(Premissas!$B$42+Premissas!$B$43)&gt;=1,INDEX($D$5:$D$94,$A51-(Premissas!$B$42+Premissas!$B$43)),0)*Unitário!$B$21*Premissas!$B$39+IF($A51-(Premissas!$B$44)&gt;=1,INDEX($E$5:$E$94,$A51-(Premissas!$B$44)),0)*(1-Premissas!$B$17)*Premissas!$B$40)</f>
        <v>-0</v>
      </c>
      <c r="M51" s="12" t="n">
        <f aca="false">-Premissas!$B$31</f>
        <v>-0</v>
      </c>
      <c r="N51" s="12" t="n">
        <f aca="false">B51+C51+F51+G51+H51+I51+J51+K51+L51+M51</f>
        <v>0</v>
      </c>
      <c r="O51" s="12" t="n">
        <f aca="false">O50+N51</f>
        <v>19118.703504</v>
      </c>
      <c r="P51" s="15" t="n">
        <f aca="false">IF(AND($A51&gt;$B$100,O51&gt;=0),1,0)</f>
        <v>1</v>
      </c>
    </row>
    <row r="52" customFormat="false" ht="15" hidden="false" customHeight="false" outlineLevel="0" collapsed="false">
      <c r="A52" s="15" t="n">
        <v>48</v>
      </c>
      <c r="B52" s="12" t="n">
        <f aca="false">IF($A52&lt;=Premissas!$B$7,-Premissas!$B$6,0)</f>
        <v>0</v>
      </c>
      <c r="C52" s="12" t="n">
        <f aca="false">-(IF($A52&lt;=Premissas!$B$7,Unitário!$B$26*Premissas!$B$10,0)+(D52+E52)*Premissas!$B$11)</f>
        <v>-0</v>
      </c>
      <c r="D52" s="27" t="n">
        <f aca="false">IF($A52&lt;=Premissas!$B$7,Unitário!$B$27*Premissas!$B$13,0)</f>
        <v>0</v>
      </c>
      <c r="E52" s="27" t="n">
        <f aca="false">IF($A52&lt;=Premissas!$B$7,Unitário!$B$27*Premissas!$B$14,0)</f>
        <v>0</v>
      </c>
      <c r="F52" s="12" t="n">
        <f aca="false">-Premissas!$B$47*Unitário!$B$22*D52</f>
        <v>-0</v>
      </c>
      <c r="G52" s="12" t="n">
        <f aca="false">IF($A52-(Premissas!$B$42)&gt;=1,INDEX($D$5:$D$94,$A52-(Premissas!$B$42)),0)*(Premissas!$B$47*Unitário!$B$22*(Premissas!$B$16+Premissas!$B$17)-Premissas!$B$48*Unitário!$B$24)</f>
        <v>-0</v>
      </c>
      <c r="H52" s="12" t="n">
        <f aca="false">IF($A52-(Premissas!$B$42+Premissas!$B$43)&gt;=1,INDEX($D$5:$D$94,$A52-(Premissas!$B$42+Premissas!$B$43)),0)*(Unitário!$B$21*Premissas!$B$39-(1-Premissas!$B$48)*Unitário!$B$24-(1-Premissas!$B$47)*Unitário!$B$21*Unitário!$B$22)</f>
        <v>0</v>
      </c>
      <c r="I52" s="12" t="n">
        <f aca="false">IF($A52-(Premissas!$B$44)&gt;=1,INDEX($E$5:$E$94,$A52-(Premissas!$B$44)),0)*(Premissas!$B$40-Unitário!$B$25)</f>
        <v>0</v>
      </c>
      <c r="J52" s="12" t="n">
        <f aca="false">E52*(-Premissas!$B$47*Unitário!$B$22-(1-Premissas!$B$17)*Premissas!$B$21)</f>
        <v>-0</v>
      </c>
      <c r="K52" s="12" t="n">
        <f aca="false">IF($A52-(Premissas!$B$45)&gt;=1,INDEX($E$5:$E$94,$A52-(Premissas!$B$45)),0)*Premissas!$B$17*(-Premissas!$B$40-Premissas!$B$29+Premissas!$B$47*Unitário!$B$22)</f>
        <v>-0</v>
      </c>
      <c r="L52" s="12" t="n">
        <f aca="false">-Premissas!$B$30*(IF($A52-(Premissas!$B$42+Premissas!$B$43)&gt;=1,INDEX($D$5:$D$94,$A52-(Premissas!$B$42+Premissas!$B$43)),0)*Unitário!$B$21*Premissas!$B$39+IF($A52-(Premissas!$B$44)&gt;=1,INDEX($E$5:$E$94,$A52-(Premissas!$B$44)),0)*(1-Premissas!$B$17)*Premissas!$B$40)</f>
        <v>-0</v>
      </c>
      <c r="M52" s="12" t="n">
        <f aca="false">-Premissas!$B$31</f>
        <v>-0</v>
      </c>
      <c r="N52" s="12" t="n">
        <f aca="false">B52+C52+F52+G52+H52+I52+J52+K52+L52+M52</f>
        <v>0</v>
      </c>
      <c r="O52" s="12" t="n">
        <f aca="false">O51+N52</f>
        <v>19118.703504</v>
      </c>
      <c r="P52" s="15" t="n">
        <f aca="false">IF(AND($A52&gt;$B$100,O52&gt;=0),1,0)</f>
        <v>1</v>
      </c>
    </row>
    <row r="53" customFormat="false" ht="15" hidden="false" customHeight="false" outlineLevel="0" collapsed="false">
      <c r="A53" s="15" t="n">
        <v>49</v>
      </c>
      <c r="B53" s="12" t="n">
        <f aca="false">IF($A53&lt;=Premissas!$B$7,-Premissas!$B$6,0)</f>
        <v>0</v>
      </c>
      <c r="C53" s="12" t="n">
        <f aca="false">-(IF($A53&lt;=Premissas!$B$7,Unitário!$B$26*Premissas!$B$10,0)+(D53+E53)*Premissas!$B$11)</f>
        <v>-0</v>
      </c>
      <c r="D53" s="27" t="n">
        <f aca="false">IF($A53&lt;=Premissas!$B$7,Unitário!$B$27*Premissas!$B$13,0)</f>
        <v>0</v>
      </c>
      <c r="E53" s="27" t="n">
        <f aca="false">IF($A53&lt;=Premissas!$B$7,Unitário!$B$27*Premissas!$B$14,0)</f>
        <v>0</v>
      </c>
      <c r="F53" s="12" t="n">
        <f aca="false">-Premissas!$B$47*Unitário!$B$22*D53</f>
        <v>-0</v>
      </c>
      <c r="G53" s="12" t="n">
        <f aca="false">IF($A53-(Premissas!$B$42)&gt;=1,INDEX($D$5:$D$94,$A53-(Premissas!$B$42)),0)*(Premissas!$B$47*Unitário!$B$22*(Premissas!$B$16+Premissas!$B$17)-Premissas!$B$48*Unitário!$B$24)</f>
        <v>-0</v>
      </c>
      <c r="H53" s="12" t="n">
        <f aca="false">IF($A53-(Premissas!$B$42+Premissas!$B$43)&gt;=1,INDEX($D$5:$D$94,$A53-(Premissas!$B$42+Premissas!$B$43)),0)*(Unitário!$B$21*Premissas!$B$39-(1-Premissas!$B$48)*Unitário!$B$24-(1-Premissas!$B$47)*Unitário!$B$21*Unitário!$B$22)</f>
        <v>0</v>
      </c>
      <c r="I53" s="12" t="n">
        <f aca="false">IF($A53-(Premissas!$B$44)&gt;=1,INDEX($E$5:$E$94,$A53-(Premissas!$B$44)),0)*(Premissas!$B$40-Unitário!$B$25)</f>
        <v>0</v>
      </c>
      <c r="J53" s="12" t="n">
        <f aca="false">E53*(-Premissas!$B$47*Unitário!$B$22-(1-Premissas!$B$17)*Premissas!$B$21)</f>
        <v>-0</v>
      </c>
      <c r="K53" s="12" t="n">
        <f aca="false">IF($A53-(Premissas!$B$45)&gt;=1,INDEX($E$5:$E$94,$A53-(Premissas!$B$45)),0)*Premissas!$B$17*(-Premissas!$B$40-Premissas!$B$29+Premissas!$B$47*Unitário!$B$22)</f>
        <v>-0</v>
      </c>
      <c r="L53" s="12" t="n">
        <f aca="false">-Premissas!$B$30*(IF($A53-(Premissas!$B$42+Premissas!$B$43)&gt;=1,INDEX($D$5:$D$94,$A53-(Premissas!$B$42+Premissas!$B$43)),0)*Unitário!$B$21*Premissas!$B$39+IF($A53-(Premissas!$B$44)&gt;=1,INDEX($E$5:$E$94,$A53-(Premissas!$B$44)),0)*(1-Premissas!$B$17)*Premissas!$B$40)</f>
        <v>-0</v>
      </c>
      <c r="M53" s="12" t="n">
        <f aca="false">-Premissas!$B$31</f>
        <v>-0</v>
      </c>
      <c r="N53" s="12" t="n">
        <f aca="false">B53+C53+F53+G53+H53+I53+J53+K53+L53+M53</f>
        <v>0</v>
      </c>
      <c r="O53" s="12" t="n">
        <f aca="false">O52+N53</f>
        <v>19118.703504</v>
      </c>
      <c r="P53" s="15" t="n">
        <f aca="false">IF(AND($A53&gt;$B$100,O53&gt;=0),1,0)</f>
        <v>1</v>
      </c>
    </row>
    <row r="54" customFormat="false" ht="15" hidden="false" customHeight="false" outlineLevel="0" collapsed="false">
      <c r="A54" s="15" t="n">
        <v>50</v>
      </c>
      <c r="B54" s="12" t="n">
        <f aca="false">IF($A54&lt;=Premissas!$B$7,-Premissas!$B$6,0)</f>
        <v>0</v>
      </c>
      <c r="C54" s="12" t="n">
        <f aca="false">-(IF($A54&lt;=Premissas!$B$7,Unitário!$B$26*Premissas!$B$10,0)+(D54+E54)*Premissas!$B$11)</f>
        <v>-0</v>
      </c>
      <c r="D54" s="27" t="n">
        <f aca="false">IF($A54&lt;=Premissas!$B$7,Unitário!$B$27*Premissas!$B$13,0)</f>
        <v>0</v>
      </c>
      <c r="E54" s="27" t="n">
        <f aca="false">IF($A54&lt;=Premissas!$B$7,Unitário!$B$27*Premissas!$B$14,0)</f>
        <v>0</v>
      </c>
      <c r="F54" s="12" t="n">
        <f aca="false">-Premissas!$B$47*Unitário!$B$22*D54</f>
        <v>-0</v>
      </c>
      <c r="G54" s="12" t="n">
        <f aca="false">IF($A54-(Premissas!$B$42)&gt;=1,INDEX($D$5:$D$94,$A54-(Premissas!$B$42)),0)*(Premissas!$B$47*Unitário!$B$22*(Premissas!$B$16+Premissas!$B$17)-Premissas!$B$48*Unitário!$B$24)</f>
        <v>-0</v>
      </c>
      <c r="H54" s="12" t="n">
        <f aca="false">IF($A54-(Premissas!$B$42+Premissas!$B$43)&gt;=1,INDEX($D$5:$D$94,$A54-(Premissas!$B$42+Premissas!$B$43)),0)*(Unitário!$B$21*Premissas!$B$39-(1-Premissas!$B$48)*Unitário!$B$24-(1-Premissas!$B$47)*Unitário!$B$21*Unitário!$B$22)</f>
        <v>0</v>
      </c>
      <c r="I54" s="12" t="n">
        <f aca="false">IF($A54-(Premissas!$B$44)&gt;=1,INDEX($E$5:$E$94,$A54-(Premissas!$B$44)),0)*(Premissas!$B$40-Unitário!$B$25)</f>
        <v>0</v>
      </c>
      <c r="J54" s="12" t="n">
        <f aca="false">E54*(-Premissas!$B$47*Unitário!$B$22-(1-Premissas!$B$17)*Premissas!$B$21)</f>
        <v>-0</v>
      </c>
      <c r="K54" s="12" t="n">
        <f aca="false">IF($A54-(Premissas!$B$45)&gt;=1,INDEX($E$5:$E$94,$A54-(Premissas!$B$45)),0)*Premissas!$B$17*(-Premissas!$B$40-Premissas!$B$29+Premissas!$B$47*Unitário!$B$22)</f>
        <v>-0</v>
      </c>
      <c r="L54" s="12" t="n">
        <f aca="false">-Premissas!$B$30*(IF($A54-(Premissas!$B$42+Premissas!$B$43)&gt;=1,INDEX($D$5:$D$94,$A54-(Premissas!$B$42+Premissas!$B$43)),0)*Unitário!$B$21*Premissas!$B$39+IF($A54-(Premissas!$B$44)&gt;=1,INDEX($E$5:$E$94,$A54-(Premissas!$B$44)),0)*(1-Premissas!$B$17)*Premissas!$B$40)</f>
        <v>-0</v>
      </c>
      <c r="M54" s="12" t="n">
        <f aca="false">-Premissas!$B$31</f>
        <v>-0</v>
      </c>
      <c r="N54" s="12" t="n">
        <f aca="false">B54+C54+F54+G54+H54+I54+J54+K54+L54+M54</f>
        <v>0</v>
      </c>
      <c r="O54" s="12" t="n">
        <f aca="false">O53+N54</f>
        <v>19118.703504</v>
      </c>
      <c r="P54" s="15" t="n">
        <f aca="false">IF(AND($A54&gt;$B$100,O54&gt;=0),1,0)</f>
        <v>1</v>
      </c>
    </row>
    <row r="55" customFormat="false" ht="15" hidden="false" customHeight="false" outlineLevel="0" collapsed="false">
      <c r="A55" s="15" t="n">
        <v>51</v>
      </c>
      <c r="B55" s="12" t="n">
        <f aca="false">IF($A55&lt;=Premissas!$B$7,-Premissas!$B$6,0)</f>
        <v>0</v>
      </c>
      <c r="C55" s="12" t="n">
        <f aca="false">-(IF($A55&lt;=Premissas!$B$7,Unitário!$B$26*Premissas!$B$10,0)+(D55+E55)*Premissas!$B$11)</f>
        <v>-0</v>
      </c>
      <c r="D55" s="27" t="n">
        <f aca="false">IF($A55&lt;=Premissas!$B$7,Unitário!$B$27*Premissas!$B$13,0)</f>
        <v>0</v>
      </c>
      <c r="E55" s="27" t="n">
        <f aca="false">IF($A55&lt;=Premissas!$B$7,Unitário!$B$27*Premissas!$B$14,0)</f>
        <v>0</v>
      </c>
      <c r="F55" s="12" t="n">
        <f aca="false">-Premissas!$B$47*Unitário!$B$22*D55</f>
        <v>-0</v>
      </c>
      <c r="G55" s="12" t="n">
        <f aca="false">IF($A55-(Premissas!$B$42)&gt;=1,INDEX($D$5:$D$94,$A55-(Premissas!$B$42)),0)*(Premissas!$B$47*Unitário!$B$22*(Premissas!$B$16+Premissas!$B$17)-Premissas!$B$48*Unitário!$B$24)</f>
        <v>-0</v>
      </c>
      <c r="H55" s="12" t="n">
        <f aca="false">IF($A55-(Premissas!$B$42+Premissas!$B$43)&gt;=1,INDEX($D$5:$D$94,$A55-(Premissas!$B$42+Premissas!$B$43)),0)*(Unitário!$B$21*Premissas!$B$39-(1-Premissas!$B$48)*Unitário!$B$24-(1-Premissas!$B$47)*Unitário!$B$21*Unitário!$B$22)</f>
        <v>0</v>
      </c>
      <c r="I55" s="12" t="n">
        <f aca="false">IF($A55-(Premissas!$B$44)&gt;=1,INDEX($E$5:$E$94,$A55-(Premissas!$B$44)),0)*(Premissas!$B$40-Unitário!$B$25)</f>
        <v>0</v>
      </c>
      <c r="J55" s="12" t="n">
        <f aca="false">E55*(-Premissas!$B$47*Unitário!$B$22-(1-Premissas!$B$17)*Premissas!$B$21)</f>
        <v>-0</v>
      </c>
      <c r="K55" s="12" t="n">
        <f aca="false">IF($A55-(Premissas!$B$45)&gt;=1,INDEX($E$5:$E$94,$A55-(Premissas!$B$45)),0)*Premissas!$B$17*(-Premissas!$B$40-Premissas!$B$29+Premissas!$B$47*Unitário!$B$22)</f>
        <v>-0</v>
      </c>
      <c r="L55" s="12" t="n">
        <f aca="false">-Premissas!$B$30*(IF($A55-(Premissas!$B$42+Premissas!$B$43)&gt;=1,INDEX($D$5:$D$94,$A55-(Premissas!$B$42+Premissas!$B$43)),0)*Unitário!$B$21*Premissas!$B$39+IF($A55-(Premissas!$B$44)&gt;=1,INDEX($E$5:$E$94,$A55-(Premissas!$B$44)),0)*(1-Premissas!$B$17)*Premissas!$B$40)</f>
        <v>-0</v>
      </c>
      <c r="M55" s="12" t="n">
        <f aca="false">-Premissas!$B$31</f>
        <v>-0</v>
      </c>
      <c r="N55" s="12" t="n">
        <f aca="false">B55+C55+F55+G55+H55+I55+J55+K55+L55+M55</f>
        <v>0</v>
      </c>
      <c r="O55" s="12" t="n">
        <f aca="false">O54+N55</f>
        <v>19118.703504</v>
      </c>
      <c r="P55" s="15" t="n">
        <f aca="false">IF(AND($A55&gt;$B$100,O55&gt;=0),1,0)</f>
        <v>1</v>
      </c>
    </row>
    <row r="56" customFormat="false" ht="15" hidden="false" customHeight="false" outlineLevel="0" collapsed="false">
      <c r="A56" s="15" t="n">
        <v>52</v>
      </c>
      <c r="B56" s="12" t="n">
        <f aca="false">IF($A56&lt;=Premissas!$B$7,-Premissas!$B$6,0)</f>
        <v>0</v>
      </c>
      <c r="C56" s="12" t="n">
        <f aca="false">-(IF($A56&lt;=Premissas!$B$7,Unitário!$B$26*Premissas!$B$10,0)+(D56+E56)*Premissas!$B$11)</f>
        <v>-0</v>
      </c>
      <c r="D56" s="27" t="n">
        <f aca="false">IF($A56&lt;=Premissas!$B$7,Unitário!$B$27*Premissas!$B$13,0)</f>
        <v>0</v>
      </c>
      <c r="E56" s="27" t="n">
        <f aca="false">IF($A56&lt;=Premissas!$B$7,Unitário!$B$27*Premissas!$B$14,0)</f>
        <v>0</v>
      </c>
      <c r="F56" s="12" t="n">
        <f aca="false">-Premissas!$B$47*Unitário!$B$22*D56</f>
        <v>-0</v>
      </c>
      <c r="G56" s="12" t="n">
        <f aca="false">IF($A56-(Premissas!$B$42)&gt;=1,INDEX($D$5:$D$94,$A56-(Premissas!$B$42)),0)*(Premissas!$B$47*Unitário!$B$22*(Premissas!$B$16+Premissas!$B$17)-Premissas!$B$48*Unitário!$B$24)</f>
        <v>-0</v>
      </c>
      <c r="H56" s="12" t="n">
        <f aca="false">IF($A56-(Premissas!$B$42+Premissas!$B$43)&gt;=1,INDEX($D$5:$D$94,$A56-(Premissas!$B$42+Premissas!$B$43)),0)*(Unitário!$B$21*Premissas!$B$39-(1-Premissas!$B$48)*Unitário!$B$24-(1-Premissas!$B$47)*Unitário!$B$21*Unitário!$B$22)</f>
        <v>0</v>
      </c>
      <c r="I56" s="12" t="n">
        <f aca="false">IF($A56-(Premissas!$B$44)&gt;=1,INDEX($E$5:$E$94,$A56-(Premissas!$B$44)),0)*(Premissas!$B$40-Unitário!$B$25)</f>
        <v>0</v>
      </c>
      <c r="J56" s="12" t="n">
        <f aca="false">E56*(-Premissas!$B$47*Unitário!$B$22-(1-Premissas!$B$17)*Premissas!$B$21)</f>
        <v>-0</v>
      </c>
      <c r="K56" s="12" t="n">
        <f aca="false">IF($A56-(Premissas!$B$45)&gt;=1,INDEX($E$5:$E$94,$A56-(Premissas!$B$45)),0)*Premissas!$B$17*(-Premissas!$B$40-Premissas!$B$29+Premissas!$B$47*Unitário!$B$22)</f>
        <v>-0</v>
      </c>
      <c r="L56" s="12" t="n">
        <f aca="false">-Premissas!$B$30*(IF($A56-(Premissas!$B$42+Premissas!$B$43)&gt;=1,INDEX($D$5:$D$94,$A56-(Premissas!$B$42+Premissas!$B$43)),0)*Unitário!$B$21*Premissas!$B$39+IF($A56-(Premissas!$B$44)&gt;=1,INDEX($E$5:$E$94,$A56-(Premissas!$B$44)),0)*(1-Premissas!$B$17)*Premissas!$B$40)</f>
        <v>-0</v>
      </c>
      <c r="M56" s="12" t="n">
        <f aca="false">-Premissas!$B$31</f>
        <v>-0</v>
      </c>
      <c r="N56" s="12" t="n">
        <f aca="false">B56+C56+F56+G56+H56+I56+J56+K56+L56+M56</f>
        <v>0</v>
      </c>
      <c r="O56" s="12" t="n">
        <f aca="false">O55+N56</f>
        <v>19118.703504</v>
      </c>
      <c r="P56" s="15" t="n">
        <f aca="false">IF(AND($A56&gt;$B$100,O56&gt;=0),1,0)</f>
        <v>1</v>
      </c>
    </row>
    <row r="57" customFormat="false" ht="15" hidden="false" customHeight="false" outlineLevel="0" collapsed="false">
      <c r="A57" s="15" t="n">
        <v>53</v>
      </c>
      <c r="B57" s="12" t="n">
        <f aca="false">IF($A57&lt;=Premissas!$B$7,-Premissas!$B$6,0)</f>
        <v>0</v>
      </c>
      <c r="C57" s="12" t="n">
        <f aca="false">-(IF($A57&lt;=Premissas!$B$7,Unitário!$B$26*Premissas!$B$10,0)+(D57+E57)*Premissas!$B$11)</f>
        <v>-0</v>
      </c>
      <c r="D57" s="27" t="n">
        <f aca="false">IF($A57&lt;=Premissas!$B$7,Unitário!$B$27*Premissas!$B$13,0)</f>
        <v>0</v>
      </c>
      <c r="E57" s="27" t="n">
        <f aca="false">IF($A57&lt;=Premissas!$B$7,Unitário!$B$27*Premissas!$B$14,0)</f>
        <v>0</v>
      </c>
      <c r="F57" s="12" t="n">
        <f aca="false">-Premissas!$B$47*Unitário!$B$22*D57</f>
        <v>-0</v>
      </c>
      <c r="G57" s="12" t="n">
        <f aca="false">IF($A57-(Premissas!$B$42)&gt;=1,INDEX($D$5:$D$94,$A57-(Premissas!$B$42)),0)*(Premissas!$B$47*Unitário!$B$22*(Premissas!$B$16+Premissas!$B$17)-Premissas!$B$48*Unitário!$B$24)</f>
        <v>-0</v>
      </c>
      <c r="H57" s="12" t="n">
        <f aca="false">IF($A57-(Premissas!$B$42+Premissas!$B$43)&gt;=1,INDEX($D$5:$D$94,$A57-(Premissas!$B$42+Premissas!$B$43)),0)*(Unitário!$B$21*Premissas!$B$39-(1-Premissas!$B$48)*Unitário!$B$24-(1-Premissas!$B$47)*Unitário!$B$21*Unitário!$B$22)</f>
        <v>0</v>
      </c>
      <c r="I57" s="12" t="n">
        <f aca="false">IF($A57-(Premissas!$B$44)&gt;=1,INDEX($E$5:$E$94,$A57-(Premissas!$B$44)),0)*(Premissas!$B$40-Unitário!$B$25)</f>
        <v>0</v>
      </c>
      <c r="J57" s="12" t="n">
        <f aca="false">E57*(-Premissas!$B$47*Unitário!$B$22-(1-Premissas!$B$17)*Premissas!$B$21)</f>
        <v>-0</v>
      </c>
      <c r="K57" s="12" t="n">
        <f aca="false">IF($A57-(Premissas!$B$45)&gt;=1,INDEX($E$5:$E$94,$A57-(Premissas!$B$45)),0)*Premissas!$B$17*(-Premissas!$B$40-Premissas!$B$29+Premissas!$B$47*Unitário!$B$22)</f>
        <v>-0</v>
      </c>
      <c r="L57" s="12" t="n">
        <f aca="false">-Premissas!$B$30*(IF($A57-(Premissas!$B$42+Premissas!$B$43)&gt;=1,INDEX($D$5:$D$94,$A57-(Premissas!$B$42+Premissas!$B$43)),0)*Unitário!$B$21*Premissas!$B$39+IF($A57-(Premissas!$B$44)&gt;=1,INDEX($E$5:$E$94,$A57-(Premissas!$B$44)),0)*(1-Premissas!$B$17)*Premissas!$B$40)</f>
        <v>-0</v>
      </c>
      <c r="M57" s="12" t="n">
        <f aca="false">-Premissas!$B$31</f>
        <v>-0</v>
      </c>
      <c r="N57" s="12" t="n">
        <f aca="false">B57+C57+F57+G57+H57+I57+J57+K57+L57+M57</f>
        <v>0</v>
      </c>
      <c r="O57" s="12" t="n">
        <f aca="false">O56+N57</f>
        <v>19118.703504</v>
      </c>
      <c r="P57" s="15" t="n">
        <f aca="false">IF(AND($A57&gt;$B$100,O57&gt;=0),1,0)</f>
        <v>1</v>
      </c>
    </row>
    <row r="58" customFormat="false" ht="15" hidden="false" customHeight="false" outlineLevel="0" collapsed="false">
      <c r="A58" s="15" t="n">
        <v>54</v>
      </c>
      <c r="B58" s="12" t="n">
        <f aca="false">IF($A58&lt;=Premissas!$B$7,-Premissas!$B$6,0)</f>
        <v>0</v>
      </c>
      <c r="C58" s="12" t="n">
        <f aca="false">-(IF($A58&lt;=Premissas!$B$7,Unitário!$B$26*Premissas!$B$10,0)+(D58+E58)*Premissas!$B$11)</f>
        <v>-0</v>
      </c>
      <c r="D58" s="27" t="n">
        <f aca="false">IF($A58&lt;=Premissas!$B$7,Unitário!$B$27*Premissas!$B$13,0)</f>
        <v>0</v>
      </c>
      <c r="E58" s="27" t="n">
        <f aca="false">IF($A58&lt;=Premissas!$B$7,Unitário!$B$27*Premissas!$B$14,0)</f>
        <v>0</v>
      </c>
      <c r="F58" s="12" t="n">
        <f aca="false">-Premissas!$B$47*Unitário!$B$22*D58</f>
        <v>-0</v>
      </c>
      <c r="G58" s="12" t="n">
        <f aca="false">IF($A58-(Premissas!$B$42)&gt;=1,INDEX($D$5:$D$94,$A58-(Premissas!$B$42)),0)*(Premissas!$B$47*Unitário!$B$22*(Premissas!$B$16+Premissas!$B$17)-Premissas!$B$48*Unitário!$B$24)</f>
        <v>-0</v>
      </c>
      <c r="H58" s="12" t="n">
        <f aca="false">IF($A58-(Premissas!$B$42+Premissas!$B$43)&gt;=1,INDEX($D$5:$D$94,$A58-(Premissas!$B$42+Premissas!$B$43)),0)*(Unitário!$B$21*Premissas!$B$39-(1-Premissas!$B$48)*Unitário!$B$24-(1-Premissas!$B$47)*Unitário!$B$21*Unitário!$B$22)</f>
        <v>0</v>
      </c>
      <c r="I58" s="12" t="n">
        <f aca="false">IF($A58-(Premissas!$B$44)&gt;=1,INDEX($E$5:$E$94,$A58-(Premissas!$B$44)),0)*(Premissas!$B$40-Unitário!$B$25)</f>
        <v>0</v>
      </c>
      <c r="J58" s="12" t="n">
        <f aca="false">E58*(-Premissas!$B$47*Unitário!$B$22-(1-Premissas!$B$17)*Premissas!$B$21)</f>
        <v>-0</v>
      </c>
      <c r="K58" s="12" t="n">
        <f aca="false">IF($A58-(Premissas!$B$45)&gt;=1,INDEX($E$5:$E$94,$A58-(Premissas!$B$45)),0)*Premissas!$B$17*(-Premissas!$B$40-Premissas!$B$29+Premissas!$B$47*Unitário!$B$22)</f>
        <v>-0</v>
      </c>
      <c r="L58" s="12" t="n">
        <f aca="false">-Premissas!$B$30*(IF($A58-(Premissas!$B$42+Premissas!$B$43)&gt;=1,INDEX($D$5:$D$94,$A58-(Premissas!$B$42+Premissas!$B$43)),0)*Unitário!$B$21*Premissas!$B$39+IF($A58-(Premissas!$B$44)&gt;=1,INDEX($E$5:$E$94,$A58-(Premissas!$B$44)),0)*(1-Premissas!$B$17)*Premissas!$B$40)</f>
        <v>-0</v>
      </c>
      <c r="M58" s="12" t="n">
        <f aca="false">-Premissas!$B$31</f>
        <v>-0</v>
      </c>
      <c r="N58" s="12" t="n">
        <f aca="false">B58+C58+F58+G58+H58+I58+J58+K58+L58+M58</f>
        <v>0</v>
      </c>
      <c r="O58" s="12" t="n">
        <f aca="false">O57+N58</f>
        <v>19118.703504</v>
      </c>
      <c r="P58" s="15" t="n">
        <f aca="false">IF(AND($A58&gt;$B$100,O58&gt;=0),1,0)</f>
        <v>1</v>
      </c>
    </row>
    <row r="59" customFormat="false" ht="15" hidden="false" customHeight="false" outlineLevel="0" collapsed="false">
      <c r="A59" s="15" t="n">
        <v>55</v>
      </c>
      <c r="B59" s="12" t="n">
        <f aca="false">IF($A59&lt;=Premissas!$B$7,-Premissas!$B$6,0)</f>
        <v>0</v>
      </c>
      <c r="C59" s="12" t="n">
        <f aca="false">-(IF($A59&lt;=Premissas!$B$7,Unitário!$B$26*Premissas!$B$10,0)+(D59+E59)*Premissas!$B$11)</f>
        <v>-0</v>
      </c>
      <c r="D59" s="27" t="n">
        <f aca="false">IF($A59&lt;=Premissas!$B$7,Unitário!$B$27*Premissas!$B$13,0)</f>
        <v>0</v>
      </c>
      <c r="E59" s="27" t="n">
        <f aca="false">IF($A59&lt;=Premissas!$B$7,Unitário!$B$27*Premissas!$B$14,0)</f>
        <v>0</v>
      </c>
      <c r="F59" s="12" t="n">
        <f aca="false">-Premissas!$B$47*Unitário!$B$22*D59</f>
        <v>-0</v>
      </c>
      <c r="G59" s="12" t="n">
        <f aca="false">IF($A59-(Premissas!$B$42)&gt;=1,INDEX($D$5:$D$94,$A59-(Premissas!$B$42)),0)*(Premissas!$B$47*Unitário!$B$22*(Premissas!$B$16+Premissas!$B$17)-Premissas!$B$48*Unitário!$B$24)</f>
        <v>-0</v>
      </c>
      <c r="H59" s="12" t="n">
        <f aca="false">IF($A59-(Premissas!$B$42+Premissas!$B$43)&gt;=1,INDEX($D$5:$D$94,$A59-(Premissas!$B$42+Premissas!$B$43)),0)*(Unitário!$B$21*Premissas!$B$39-(1-Premissas!$B$48)*Unitário!$B$24-(1-Premissas!$B$47)*Unitário!$B$21*Unitário!$B$22)</f>
        <v>0</v>
      </c>
      <c r="I59" s="12" t="n">
        <f aca="false">IF($A59-(Premissas!$B$44)&gt;=1,INDEX($E$5:$E$94,$A59-(Premissas!$B$44)),0)*(Premissas!$B$40-Unitário!$B$25)</f>
        <v>0</v>
      </c>
      <c r="J59" s="12" t="n">
        <f aca="false">E59*(-Premissas!$B$47*Unitário!$B$22-(1-Premissas!$B$17)*Premissas!$B$21)</f>
        <v>-0</v>
      </c>
      <c r="K59" s="12" t="n">
        <f aca="false">IF($A59-(Premissas!$B$45)&gt;=1,INDEX($E$5:$E$94,$A59-(Premissas!$B$45)),0)*Premissas!$B$17*(-Premissas!$B$40-Premissas!$B$29+Premissas!$B$47*Unitário!$B$22)</f>
        <v>-0</v>
      </c>
      <c r="L59" s="12" t="n">
        <f aca="false">-Premissas!$B$30*(IF($A59-(Premissas!$B$42+Premissas!$B$43)&gt;=1,INDEX($D$5:$D$94,$A59-(Premissas!$B$42+Premissas!$B$43)),0)*Unitário!$B$21*Premissas!$B$39+IF($A59-(Premissas!$B$44)&gt;=1,INDEX($E$5:$E$94,$A59-(Premissas!$B$44)),0)*(1-Premissas!$B$17)*Premissas!$B$40)</f>
        <v>-0</v>
      </c>
      <c r="M59" s="12" t="n">
        <f aca="false">-Premissas!$B$31</f>
        <v>-0</v>
      </c>
      <c r="N59" s="12" t="n">
        <f aca="false">B59+C59+F59+G59+H59+I59+J59+K59+L59+M59</f>
        <v>0</v>
      </c>
      <c r="O59" s="12" t="n">
        <f aca="false">O58+N59</f>
        <v>19118.703504</v>
      </c>
      <c r="P59" s="15" t="n">
        <f aca="false">IF(AND($A59&gt;$B$100,O59&gt;=0),1,0)</f>
        <v>1</v>
      </c>
    </row>
    <row r="60" customFormat="false" ht="15" hidden="false" customHeight="false" outlineLevel="0" collapsed="false">
      <c r="A60" s="15" t="n">
        <v>56</v>
      </c>
      <c r="B60" s="12" t="n">
        <f aca="false">IF($A60&lt;=Premissas!$B$7,-Premissas!$B$6,0)</f>
        <v>0</v>
      </c>
      <c r="C60" s="12" t="n">
        <f aca="false">-(IF($A60&lt;=Premissas!$B$7,Unitário!$B$26*Premissas!$B$10,0)+(D60+E60)*Premissas!$B$11)</f>
        <v>-0</v>
      </c>
      <c r="D60" s="27" t="n">
        <f aca="false">IF($A60&lt;=Premissas!$B$7,Unitário!$B$27*Premissas!$B$13,0)</f>
        <v>0</v>
      </c>
      <c r="E60" s="27" t="n">
        <f aca="false">IF($A60&lt;=Premissas!$B$7,Unitário!$B$27*Premissas!$B$14,0)</f>
        <v>0</v>
      </c>
      <c r="F60" s="12" t="n">
        <f aca="false">-Premissas!$B$47*Unitário!$B$22*D60</f>
        <v>-0</v>
      </c>
      <c r="G60" s="12" t="n">
        <f aca="false">IF($A60-(Premissas!$B$42)&gt;=1,INDEX($D$5:$D$94,$A60-(Premissas!$B$42)),0)*(Premissas!$B$47*Unitário!$B$22*(Premissas!$B$16+Premissas!$B$17)-Premissas!$B$48*Unitário!$B$24)</f>
        <v>-0</v>
      </c>
      <c r="H60" s="12" t="n">
        <f aca="false">IF($A60-(Premissas!$B$42+Premissas!$B$43)&gt;=1,INDEX($D$5:$D$94,$A60-(Premissas!$B$42+Premissas!$B$43)),0)*(Unitário!$B$21*Premissas!$B$39-(1-Premissas!$B$48)*Unitário!$B$24-(1-Premissas!$B$47)*Unitário!$B$21*Unitário!$B$22)</f>
        <v>0</v>
      </c>
      <c r="I60" s="12" t="n">
        <f aca="false">IF($A60-(Premissas!$B$44)&gt;=1,INDEX($E$5:$E$94,$A60-(Premissas!$B$44)),0)*(Premissas!$B$40-Unitário!$B$25)</f>
        <v>0</v>
      </c>
      <c r="J60" s="12" t="n">
        <f aca="false">E60*(-Premissas!$B$47*Unitário!$B$22-(1-Premissas!$B$17)*Premissas!$B$21)</f>
        <v>-0</v>
      </c>
      <c r="K60" s="12" t="n">
        <f aca="false">IF($A60-(Premissas!$B$45)&gt;=1,INDEX($E$5:$E$94,$A60-(Premissas!$B$45)),0)*Premissas!$B$17*(-Premissas!$B$40-Premissas!$B$29+Premissas!$B$47*Unitário!$B$22)</f>
        <v>-0</v>
      </c>
      <c r="L60" s="12" t="n">
        <f aca="false">-Premissas!$B$30*(IF($A60-(Premissas!$B$42+Premissas!$B$43)&gt;=1,INDEX($D$5:$D$94,$A60-(Premissas!$B$42+Premissas!$B$43)),0)*Unitário!$B$21*Premissas!$B$39+IF($A60-(Premissas!$B$44)&gt;=1,INDEX($E$5:$E$94,$A60-(Premissas!$B$44)),0)*(1-Premissas!$B$17)*Premissas!$B$40)</f>
        <v>-0</v>
      </c>
      <c r="M60" s="12" t="n">
        <f aca="false">-Premissas!$B$31</f>
        <v>-0</v>
      </c>
      <c r="N60" s="12" t="n">
        <f aca="false">B60+C60+F60+G60+H60+I60+J60+K60+L60+M60</f>
        <v>0</v>
      </c>
      <c r="O60" s="12" t="n">
        <f aca="false">O59+N60</f>
        <v>19118.703504</v>
      </c>
      <c r="P60" s="15" t="n">
        <f aca="false">IF(AND($A60&gt;$B$100,O60&gt;=0),1,0)</f>
        <v>1</v>
      </c>
    </row>
    <row r="61" customFormat="false" ht="15" hidden="false" customHeight="false" outlineLevel="0" collapsed="false">
      <c r="A61" s="15" t="n">
        <v>57</v>
      </c>
      <c r="B61" s="12" t="n">
        <f aca="false">IF($A61&lt;=Premissas!$B$7,-Premissas!$B$6,0)</f>
        <v>0</v>
      </c>
      <c r="C61" s="12" t="n">
        <f aca="false">-(IF($A61&lt;=Premissas!$B$7,Unitário!$B$26*Premissas!$B$10,0)+(D61+E61)*Premissas!$B$11)</f>
        <v>-0</v>
      </c>
      <c r="D61" s="27" t="n">
        <f aca="false">IF($A61&lt;=Premissas!$B$7,Unitário!$B$27*Premissas!$B$13,0)</f>
        <v>0</v>
      </c>
      <c r="E61" s="27" t="n">
        <f aca="false">IF($A61&lt;=Premissas!$B$7,Unitário!$B$27*Premissas!$B$14,0)</f>
        <v>0</v>
      </c>
      <c r="F61" s="12" t="n">
        <f aca="false">-Premissas!$B$47*Unitário!$B$22*D61</f>
        <v>-0</v>
      </c>
      <c r="G61" s="12" t="n">
        <f aca="false">IF($A61-(Premissas!$B$42)&gt;=1,INDEX($D$5:$D$94,$A61-(Premissas!$B$42)),0)*(Premissas!$B$47*Unitário!$B$22*(Premissas!$B$16+Premissas!$B$17)-Premissas!$B$48*Unitário!$B$24)</f>
        <v>-0</v>
      </c>
      <c r="H61" s="12" t="n">
        <f aca="false">IF($A61-(Premissas!$B$42+Premissas!$B$43)&gt;=1,INDEX($D$5:$D$94,$A61-(Premissas!$B$42+Premissas!$B$43)),0)*(Unitário!$B$21*Premissas!$B$39-(1-Premissas!$B$48)*Unitário!$B$24-(1-Premissas!$B$47)*Unitário!$B$21*Unitário!$B$22)</f>
        <v>0</v>
      </c>
      <c r="I61" s="12" t="n">
        <f aca="false">IF($A61-(Premissas!$B$44)&gt;=1,INDEX($E$5:$E$94,$A61-(Premissas!$B$44)),0)*(Premissas!$B$40-Unitário!$B$25)</f>
        <v>0</v>
      </c>
      <c r="J61" s="12" t="n">
        <f aca="false">E61*(-Premissas!$B$47*Unitário!$B$22-(1-Premissas!$B$17)*Premissas!$B$21)</f>
        <v>-0</v>
      </c>
      <c r="K61" s="12" t="n">
        <f aca="false">IF($A61-(Premissas!$B$45)&gt;=1,INDEX($E$5:$E$94,$A61-(Premissas!$B$45)),0)*Premissas!$B$17*(-Premissas!$B$40-Premissas!$B$29+Premissas!$B$47*Unitário!$B$22)</f>
        <v>-0</v>
      </c>
      <c r="L61" s="12" t="n">
        <f aca="false">-Premissas!$B$30*(IF($A61-(Premissas!$B$42+Premissas!$B$43)&gt;=1,INDEX($D$5:$D$94,$A61-(Premissas!$B$42+Premissas!$B$43)),0)*Unitário!$B$21*Premissas!$B$39+IF($A61-(Premissas!$B$44)&gt;=1,INDEX($E$5:$E$94,$A61-(Premissas!$B$44)),0)*(1-Premissas!$B$17)*Premissas!$B$40)</f>
        <v>-0</v>
      </c>
      <c r="M61" s="12" t="n">
        <f aca="false">-Premissas!$B$31</f>
        <v>-0</v>
      </c>
      <c r="N61" s="12" t="n">
        <f aca="false">B61+C61+F61+G61+H61+I61+J61+K61+L61+M61</f>
        <v>0</v>
      </c>
      <c r="O61" s="12" t="n">
        <f aca="false">O60+N61</f>
        <v>19118.703504</v>
      </c>
      <c r="P61" s="15" t="n">
        <f aca="false">IF(AND($A61&gt;$B$100,O61&gt;=0),1,0)</f>
        <v>1</v>
      </c>
    </row>
    <row r="62" customFormat="false" ht="15" hidden="false" customHeight="false" outlineLevel="0" collapsed="false">
      <c r="A62" s="15" t="n">
        <v>58</v>
      </c>
      <c r="B62" s="12" t="n">
        <f aca="false">IF($A62&lt;=Premissas!$B$7,-Premissas!$B$6,0)</f>
        <v>0</v>
      </c>
      <c r="C62" s="12" t="n">
        <f aca="false">-(IF($A62&lt;=Premissas!$B$7,Unitário!$B$26*Premissas!$B$10,0)+(D62+E62)*Premissas!$B$11)</f>
        <v>-0</v>
      </c>
      <c r="D62" s="27" t="n">
        <f aca="false">IF($A62&lt;=Premissas!$B$7,Unitário!$B$27*Premissas!$B$13,0)</f>
        <v>0</v>
      </c>
      <c r="E62" s="27" t="n">
        <f aca="false">IF($A62&lt;=Premissas!$B$7,Unitário!$B$27*Premissas!$B$14,0)</f>
        <v>0</v>
      </c>
      <c r="F62" s="12" t="n">
        <f aca="false">-Premissas!$B$47*Unitário!$B$22*D62</f>
        <v>-0</v>
      </c>
      <c r="G62" s="12" t="n">
        <f aca="false">IF($A62-(Premissas!$B$42)&gt;=1,INDEX($D$5:$D$94,$A62-(Premissas!$B$42)),0)*(Premissas!$B$47*Unitário!$B$22*(Premissas!$B$16+Premissas!$B$17)-Premissas!$B$48*Unitário!$B$24)</f>
        <v>-0</v>
      </c>
      <c r="H62" s="12" t="n">
        <f aca="false">IF($A62-(Premissas!$B$42+Premissas!$B$43)&gt;=1,INDEX($D$5:$D$94,$A62-(Premissas!$B$42+Premissas!$B$43)),0)*(Unitário!$B$21*Premissas!$B$39-(1-Premissas!$B$48)*Unitário!$B$24-(1-Premissas!$B$47)*Unitário!$B$21*Unitário!$B$22)</f>
        <v>0</v>
      </c>
      <c r="I62" s="12" t="n">
        <f aca="false">IF($A62-(Premissas!$B$44)&gt;=1,INDEX($E$5:$E$94,$A62-(Premissas!$B$44)),0)*(Premissas!$B$40-Unitário!$B$25)</f>
        <v>0</v>
      </c>
      <c r="J62" s="12" t="n">
        <f aca="false">E62*(-Premissas!$B$47*Unitário!$B$22-(1-Premissas!$B$17)*Premissas!$B$21)</f>
        <v>-0</v>
      </c>
      <c r="K62" s="12" t="n">
        <f aca="false">IF($A62-(Premissas!$B$45)&gt;=1,INDEX($E$5:$E$94,$A62-(Premissas!$B$45)),0)*Premissas!$B$17*(-Premissas!$B$40-Premissas!$B$29+Premissas!$B$47*Unitário!$B$22)</f>
        <v>-0</v>
      </c>
      <c r="L62" s="12" t="n">
        <f aca="false">-Premissas!$B$30*(IF($A62-(Premissas!$B$42+Premissas!$B$43)&gt;=1,INDEX($D$5:$D$94,$A62-(Premissas!$B$42+Premissas!$B$43)),0)*Unitário!$B$21*Premissas!$B$39+IF($A62-(Premissas!$B$44)&gt;=1,INDEX($E$5:$E$94,$A62-(Premissas!$B$44)),0)*(1-Premissas!$B$17)*Premissas!$B$40)</f>
        <v>-0</v>
      </c>
      <c r="M62" s="12" t="n">
        <f aca="false">-Premissas!$B$31</f>
        <v>-0</v>
      </c>
      <c r="N62" s="12" t="n">
        <f aca="false">B62+C62+F62+G62+H62+I62+J62+K62+L62+M62</f>
        <v>0</v>
      </c>
      <c r="O62" s="12" t="n">
        <f aca="false">O61+N62</f>
        <v>19118.703504</v>
      </c>
      <c r="P62" s="15" t="n">
        <f aca="false">IF(AND($A62&gt;$B$100,O62&gt;=0),1,0)</f>
        <v>1</v>
      </c>
    </row>
    <row r="63" customFormat="false" ht="15" hidden="false" customHeight="false" outlineLevel="0" collapsed="false">
      <c r="A63" s="15" t="n">
        <v>59</v>
      </c>
      <c r="B63" s="12" t="n">
        <f aca="false">IF($A63&lt;=Premissas!$B$7,-Premissas!$B$6,0)</f>
        <v>0</v>
      </c>
      <c r="C63" s="12" t="n">
        <f aca="false">-(IF($A63&lt;=Premissas!$B$7,Unitário!$B$26*Premissas!$B$10,0)+(D63+E63)*Premissas!$B$11)</f>
        <v>-0</v>
      </c>
      <c r="D63" s="27" t="n">
        <f aca="false">IF($A63&lt;=Premissas!$B$7,Unitário!$B$27*Premissas!$B$13,0)</f>
        <v>0</v>
      </c>
      <c r="E63" s="27" t="n">
        <f aca="false">IF($A63&lt;=Premissas!$B$7,Unitário!$B$27*Premissas!$B$14,0)</f>
        <v>0</v>
      </c>
      <c r="F63" s="12" t="n">
        <f aca="false">-Premissas!$B$47*Unitário!$B$22*D63</f>
        <v>-0</v>
      </c>
      <c r="G63" s="12" t="n">
        <f aca="false">IF($A63-(Premissas!$B$42)&gt;=1,INDEX($D$5:$D$94,$A63-(Premissas!$B$42)),0)*(Premissas!$B$47*Unitário!$B$22*(Premissas!$B$16+Premissas!$B$17)-Premissas!$B$48*Unitário!$B$24)</f>
        <v>-0</v>
      </c>
      <c r="H63" s="12" t="n">
        <f aca="false">IF($A63-(Premissas!$B$42+Premissas!$B$43)&gt;=1,INDEX($D$5:$D$94,$A63-(Premissas!$B$42+Premissas!$B$43)),0)*(Unitário!$B$21*Premissas!$B$39-(1-Premissas!$B$48)*Unitário!$B$24-(1-Premissas!$B$47)*Unitário!$B$21*Unitário!$B$22)</f>
        <v>0</v>
      </c>
      <c r="I63" s="12" t="n">
        <f aca="false">IF($A63-(Premissas!$B$44)&gt;=1,INDEX($E$5:$E$94,$A63-(Premissas!$B$44)),0)*(Premissas!$B$40-Unitário!$B$25)</f>
        <v>0</v>
      </c>
      <c r="J63" s="12" t="n">
        <f aca="false">E63*(-Premissas!$B$47*Unitário!$B$22-(1-Premissas!$B$17)*Premissas!$B$21)</f>
        <v>-0</v>
      </c>
      <c r="K63" s="12" t="n">
        <f aca="false">IF($A63-(Premissas!$B$45)&gt;=1,INDEX($E$5:$E$94,$A63-(Premissas!$B$45)),0)*Premissas!$B$17*(-Premissas!$B$40-Premissas!$B$29+Premissas!$B$47*Unitário!$B$22)</f>
        <v>-0</v>
      </c>
      <c r="L63" s="12" t="n">
        <f aca="false">-Premissas!$B$30*(IF($A63-(Premissas!$B$42+Premissas!$B$43)&gt;=1,INDEX($D$5:$D$94,$A63-(Premissas!$B$42+Premissas!$B$43)),0)*Unitário!$B$21*Premissas!$B$39+IF($A63-(Premissas!$B$44)&gt;=1,INDEX($E$5:$E$94,$A63-(Premissas!$B$44)),0)*(1-Premissas!$B$17)*Premissas!$B$40)</f>
        <v>-0</v>
      </c>
      <c r="M63" s="12" t="n">
        <f aca="false">-Premissas!$B$31</f>
        <v>-0</v>
      </c>
      <c r="N63" s="12" t="n">
        <f aca="false">B63+C63+F63+G63+H63+I63+J63+K63+L63+M63</f>
        <v>0</v>
      </c>
      <c r="O63" s="12" t="n">
        <f aca="false">O62+N63</f>
        <v>19118.703504</v>
      </c>
      <c r="P63" s="15" t="n">
        <f aca="false">IF(AND($A63&gt;$B$100,O63&gt;=0),1,0)</f>
        <v>1</v>
      </c>
    </row>
    <row r="64" customFormat="false" ht="15" hidden="false" customHeight="false" outlineLevel="0" collapsed="false">
      <c r="A64" s="15" t="n">
        <v>60</v>
      </c>
      <c r="B64" s="12" t="n">
        <f aca="false">IF($A64&lt;=Premissas!$B$7,-Premissas!$B$6,0)</f>
        <v>0</v>
      </c>
      <c r="C64" s="12" t="n">
        <f aca="false">-(IF($A64&lt;=Premissas!$B$7,Unitário!$B$26*Premissas!$B$10,0)+(D64+E64)*Premissas!$B$11)</f>
        <v>-0</v>
      </c>
      <c r="D64" s="27" t="n">
        <f aca="false">IF($A64&lt;=Premissas!$B$7,Unitário!$B$27*Premissas!$B$13,0)</f>
        <v>0</v>
      </c>
      <c r="E64" s="27" t="n">
        <f aca="false">IF($A64&lt;=Premissas!$B$7,Unitário!$B$27*Premissas!$B$14,0)</f>
        <v>0</v>
      </c>
      <c r="F64" s="12" t="n">
        <f aca="false">-Premissas!$B$47*Unitário!$B$22*D64</f>
        <v>-0</v>
      </c>
      <c r="G64" s="12" t="n">
        <f aca="false">IF($A64-(Premissas!$B$42)&gt;=1,INDEX($D$5:$D$94,$A64-(Premissas!$B$42)),0)*(Premissas!$B$47*Unitário!$B$22*(Premissas!$B$16+Premissas!$B$17)-Premissas!$B$48*Unitário!$B$24)</f>
        <v>-0</v>
      </c>
      <c r="H64" s="12" t="n">
        <f aca="false">IF($A64-(Premissas!$B$42+Premissas!$B$43)&gt;=1,INDEX($D$5:$D$94,$A64-(Premissas!$B$42+Premissas!$B$43)),0)*(Unitário!$B$21*Premissas!$B$39-(1-Premissas!$B$48)*Unitário!$B$24-(1-Premissas!$B$47)*Unitário!$B$21*Unitário!$B$22)</f>
        <v>0</v>
      </c>
      <c r="I64" s="12" t="n">
        <f aca="false">IF($A64-(Premissas!$B$44)&gt;=1,INDEX($E$5:$E$94,$A64-(Premissas!$B$44)),0)*(Premissas!$B$40-Unitário!$B$25)</f>
        <v>0</v>
      </c>
      <c r="J64" s="12" t="n">
        <f aca="false">E64*(-Premissas!$B$47*Unitário!$B$22-(1-Premissas!$B$17)*Premissas!$B$21)</f>
        <v>-0</v>
      </c>
      <c r="K64" s="12" t="n">
        <f aca="false">IF($A64-(Premissas!$B$45)&gt;=1,INDEX($E$5:$E$94,$A64-(Premissas!$B$45)),0)*Premissas!$B$17*(-Premissas!$B$40-Premissas!$B$29+Premissas!$B$47*Unitário!$B$22)</f>
        <v>-0</v>
      </c>
      <c r="L64" s="12" t="n">
        <f aca="false">-Premissas!$B$30*(IF($A64-(Premissas!$B$42+Premissas!$B$43)&gt;=1,INDEX($D$5:$D$94,$A64-(Premissas!$B$42+Premissas!$B$43)),0)*Unitário!$B$21*Premissas!$B$39+IF($A64-(Premissas!$B$44)&gt;=1,INDEX($E$5:$E$94,$A64-(Premissas!$B$44)),0)*(1-Premissas!$B$17)*Premissas!$B$40)</f>
        <v>-0</v>
      </c>
      <c r="M64" s="12" t="n">
        <f aca="false">-Premissas!$B$31</f>
        <v>-0</v>
      </c>
      <c r="N64" s="12" t="n">
        <f aca="false">B64+C64+F64+G64+H64+I64+J64+K64+L64+M64</f>
        <v>0</v>
      </c>
      <c r="O64" s="12" t="n">
        <f aca="false">O63+N64</f>
        <v>19118.703504</v>
      </c>
      <c r="P64" s="15" t="n">
        <f aca="false">IF(AND($A64&gt;$B$100,O64&gt;=0),1,0)</f>
        <v>1</v>
      </c>
    </row>
    <row r="65" customFormat="false" ht="15" hidden="false" customHeight="false" outlineLevel="0" collapsed="false">
      <c r="A65" s="15" t="n">
        <v>61</v>
      </c>
      <c r="B65" s="12" t="n">
        <f aca="false">IF($A65&lt;=Premissas!$B$7,-Premissas!$B$6,0)</f>
        <v>0</v>
      </c>
      <c r="C65" s="12" t="n">
        <f aca="false">-(IF($A65&lt;=Premissas!$B$7,Unitário!$B$26*Premissas!$B$10,0)+(D65+E65)*Premissas!$B$11)</f>
        <v>-0</v>
      </c>
      <c r="D65" s="27" t="n">
        <f aca="false">IF($A65&lt;=Premissas!$B$7,Unitário!$B$27*Premissas!$B$13,0)</f>
        <v>0</v>
      </c>
      <c r="E65" s="27" t="n">
        <f aca="false">IF($A65&lt;=Premissas!$B$7,Unitário!$B$27*Premissas!$B$14,0)</f>
        <v>0</v>
      </c>
      <c r="F65" s="12" t="n">
        <f aca="false">-Premissas!$B$47*Unitário!$B$22*D65</f>
        <v>-0</v>
      </c>
      <c r="G65" s="12" t="n">
        <f aca="false">IF($A65-(Premissas!$B$42)&gt;=1,INDEX($D$5:$D$94,$A65-(Premissas!$B$42)),0)*(Premissas!$B$47*Unitário!$B$22*(Premissas!$B$16+Premissas!$B$17)-Premissas!$B$48*Unitário!$B$24)</f>
        <v>-0</v>
      </c>
      <c r="H65" s="12" t="n">
        <f aca="false">IF($A65-(Premissas!$B$42+Premissas!$B$43)&gt;=1,INDEX($D$5:$D$94,$A65-(Premissas!$B$42+Premissas!$B$43)),0)*(Unitário!$B$21*Premissas!$B$39-(1-Premissas!$B$48)*Unitário!$B$24-(1-Premissas!$B$47)*Unitário!$B$21*Unitário!$B$22)</f>
        <v>0</v>
      </c>
      <c r="I65" s="12" t="n">
        <f aca="false">IF($A65-(Premissas!$B$44)&gt;=1,INDEX($E$5:$E$94,$A65-(Premissas!$B$44)),0)*(Premissas!$B$40-Unitário!$B$25)</f>
        <v>0</v>
      </c>
      <c r="J65" s="12" t="n">
        <f aca="false">E65*(-Premissas!$B$47*Unitário!$B$22-(1-Premissas!$B$17)*Premissas!$B$21)</f>
        <v>-0</v>
      </c>
      <c r="K65" s="12" t="n">
        <f aca="false">IF($A65-(Premissas!$B$45)&gt;=1,INDEX($E$5:$E$94,$A65-(Premissas!$B$45)),0)*Premissas!$B$17*(-Premissas!$B$40-Premissas!$B$29+Premissas!$B$47*Unitário!$B$22)</f>
        <v>-0</v>
      </c>
      <c r="L65" s="12" t="n">
        <f aca="false">-Premissas!$B$30*(IF($A65-(Premissas!$B$42+Premissas!$B$43)&gt;=1,INDEX($D$5:$D$94,$A65-(Premissas!$B$42+Premissas!$B$43)),0)*Unitário!$B$21*Premissas!$B$39+IF($A65-(Premissas!$B$44)&gt;=1,INDEX($E$5:$E$94,$A65-(Premissas!$B$44)),0)*(1-Premissas!$B$17)*Premissas!$B$40)</f>
        <v>-0</v>
      </c>
      <c r="M65" s="12" t="n">
        <f aca="false">-Premissas!$B$31</f>
        <v>-0</v>
      </c>
      <c r="N65" s="12" t="n">
        <f aca="false">B65+C65+F65+G65+H65+I65+J65+K65+L65+M65</f>
        <v>0</v>
      </c>
      <c r="O65" s="12" t="n">
        <f aca="false">O64+N65</f>
        <v>19118.703504</v>
      </c>
      <c r="P65" s="15" t="n">
        <f aca="false">IF(AND($A65&gt;$B$100,O65&gt;=0),1,0)</f>
        <v>1</v>
      </c>
    </row>
    <row r="66" customFormat="false" ht="15" hidden="false" customHeight="false" outlineLevel="0" collapsed="false">
      <c r="A66" s="15" t="n">
        <v>62</v>
      </c>
      <c r="B66" s="12" t="n">
        <f aca="false">IF($A66&lt;=Premissas!$B$7,-Premissas!$B$6,0)</f>
        <v>0</v>
      </c>
      <c r="C66" s="12" t="n">
        <f aca="false">-(IF($A66&lt;=Premissas!$B$7,Unitário!$B$26*Premissas!$B$10,0)+(D66+E66)*Premissas!$B$11)</f>
        <v>-0</v>
      </c>
      <c r="D66" s="27" t="n">
        <f aca="false">IF($A66&lt;=Premissas!$B$7,Unitário!$B$27*Premissas!$B$13,0)</f>
        <v>0</v>
      </c>
      <c r="E66" s="27" t="n">
        <f aca="false">IF($A66&lt;=Premissas!$B$7,Unitário!$B$27*Premissas!$B$14,0)</f>
        <v>0</v>
      </c>
      <c r="F66" s="12" t="n">
        <f aca="false">-Premissas!$B$47*Unitário!$B$22*D66</f>
        <v>-0</v>
      </c>
      <c r="G66" s="12" t="n">
        <f aca="false">IF($A66-(Premissas!$B$42)&gt;=1,INDEX($D$5:$D$94,$A66-(Premissas!$B$42)),0)*(Premissas!$B$47*Unitário!$B$22*(Premissas!$B$16+Premissas!$B$17)-Premissas!$B$48*Unitário!$B$24)</f>
        <v>-0</v>
      </c>
      <c r="H66" s="12" t="n">
        <f aca="false">IF($A66-(Premissas!$B$42+Premissas!$B$43)&gt;=1,INDEX($D$5:$D$94,$A66-(Premissas!$B$42+Premissas!$B$43)),0)*(Unitário!$B$21*Premissas!$B$39-(1-Premissas!$B$48)*Unitário!$B$24-(1-Premissas!$B$47)*Unitário!$B$21*Unitário!$B$22)</f>
        <v>0</v>
      </c>
      <c r="I66" s="12" t="n">
        <f aca="false">IF($A66-(Premissas!$B$44)&gt;=1,INDEX($E$5:$E$94,$A66-(Premissas!$B$44)),0)*(Premissas!$B$40-Unitário!$B$25)</f>
        <v>0</v>
      </c>
      <c r="J66" s="12" t="n">
        <f aca="false">E66*(-Premissas!$B$47*Unitário!$B$22-(1-Premissas!$B$17)*Premissas!$B$21)</f>
        <v>-0</v>
      </c>
      <c r="K66" s="12" t="n">
        <f aca="false">IF($A66-(Premissas!$B$45)&gt;=1,INDEX($E$5:$E$94,$A66-(Premissas!$B$45)),0)*Premissas!$B$17*(-Premissas!$B$40-Premissas!$B$29+Premissas!$B$47*Unitário!$B$22)</f>
        <v>-0</v>
      </c>
      <c r="L66" s="12" t="n">
        <f aca="false">-Premissas!$B$30*(IF($A66-(Premissas!$B$42+Premissas!$B$43)&gt;=1,INDEX($D$5:$D$94,$A66-(Premissas!$B$42+Premissas!$B$43)),0)*Unitário!$B$21*Premissas!$B$39+IF($A66-(Premissas!$B$44)&gt;=1,INDEX($E$5:$E$94,$A66-(Premissas!$B$44)),0)*(1-Premissas!$B$17)*Premissas!$B$40)</f>
        <v>-0</v>
      </c>
      <c r="M66" s="12" t="n">
        <f aca="false">-Premissas!$B$31</f>
        <v>-0</v>
      </c>
      <c r="N66" s="12" t="n">
        <f aca="false">B66+C66+F66+G66+H66+I66+J66+K66+L66+M66</f>
        <v>0</v>
      </c>
      <c r="O66" s="12" t="n">
        <f aca="false">O65+N66</f>
        <v>19118.703504</v>
      </c>
      <c r="P66" s="15" t="n">
        <f aca="false">IF(AND($A66&gt;$B$100,O66&gt;=0),1,0)</f>
        <v>1</v>
      </c>
    </row>
    <row r="67" customFormat="false" ht="15" hidden="false" customHeight="false" outlineLevel="0" collapsed="false">
      <c r="A67" s="15" t="n">
        <v>63</v>
      </c>
      <c r="B67" s="12" t="n">
        <f aca="false">IF($A67&lt;=Premissas!$B$7,-Premissas!$B$6,0)</f>
        <v>0</v>
      </c>
      <c r="C67" s="12" t="n">
        <f aca="false">-(IF($A67&lt;=Premissas!$B$7,Unitário!$B$26*Premissas!$B$10,0)+(D67+E67)*Premissas!$B$11)</f>
        <v>-0</v>
      </c>
      <c r="D67" s="27" t="n">
        <f aca="false">IF($A67&lt;=Premissas!$B$7,Unitário!$B$27*Premissas!$B$13,0)</f>
        <v>0</v>
      </c>
      <c r="E67" s="27" t="n">
        <f aca="false">IF($A67&lt;=Premissas!$B$7,Unitário!$B$27*Premissas!$B$14,0)</f>
        <v>0</v>
      </c>
      <c r="F67" s="12" t="n">
        <f aca="false">-Premissas!$B$47*Unitário!$B$22*D67</f>
        <v>-0</v>
      </c>
      <c r="G67" s="12" t="n">
        <f aca="false">IF($A67-(Premissas!$B$42)&gt;=1,INDEX($D$5:$D$94,$A67-(Premissas!$B$42)),0)*(Premissas!$B$47*Unitário!$B$22*(Premissas!$B$16+Premissas!$B$17)-Premissas!$B$48*Unitário!$B$24)</f>
        <v>-0</v>
      </c>
      <c r="H67" s="12" t="n">
        <f aca="false">IF($A67-(Premissas!$B$42+Premissas!$B$43)&gt;=1,INDEX($D$5:$D$94,$A67-(Premissas!$B$42+Premissas!$B$43)),0)*(Unitário!$B$21*Premissas!$B$39-(1-Premissas!$B$48)*Unitário!$B$24-(1-Premissas!$B$47)*Unitário!$B$21*Unitário!$B$22)</f>
        <v>0</v>
      </c>
      <c r="I67" s="12" t="n">
        <f aca="false">IF($A67-(Premissas!$B$44)&gt;=1,INDEX($E$5:$E$94,$A67-(Premissas!$B$44)),0)*(Premissas!$B$40-Unitário!$B$25)</f>
        <v>0</v>
      </c>
      <c r="J67" s="12" t="n">
        <f aca="false">E67*(-Premissas!$B$47*Unitário!$B$22-(1-Premissas!$B$17)*Premissas!$B$21)</f>
        <v>-0</v>
      </c>
      <c r="K67" s="12" t="n">
        <f aca="false">IF($A67-(Premissas!$B$45)&gt;=1,INDEX($E$5:$E$94,$A67-(Premissas!$B$45)),0)*Premissas!$B$17*(-Premissas!$B$40-Premissas!$B$29+Premissas!$B$47*Unitário!$B$22)</f>
        <v>-0</v>
      </c>
      <c r="L67" s="12" t="n">
        <f aca="false">-Premissas!$B$30*(IF($A67-(Premissas!$B$42+Premissas!$B$43)&gt;=1,INDEX($D$5:$D$94,$A67-(Premissas!$B$42+Premissas!$B$43)),0)*Unitário!$B$21*Premissas!$B$39+IF($A67-(Premissas!$B$44)&gt;=1,INDEX($E$5:$E$94,$A67-(Premissas!$B$44)),0)*(1-Premissas!$B$17)*Premissas!$B$40)</f>
        <v>-0</v>
      </c>
      <c r="M67" s="12" t="n">
        <f aca="false">-Premissas!$B$31</f>
        <v>-0</v>
      </c>
      <c r="N67" s="12" t="n">
        <f aca="false">B67+C67+F67+G67+H67+I67+J67+K67+L67+M67</f>
        <v>0</v>
      </c>
      <c r="O67" s="12" t="n">
        <f aca="false">O66+N67</f>
        <v>19118.703504</v>
      </c>
      <c r="P67" s="15" t="n">
        <f aca="false">IF(AND($A67&gt;$B$100,O67&gt;=0),1,0)</f>
        <v>1</v>
      </c>
    </row>
    <row r="68" customFormat="false" ht="15" hidden="false" customHeight="false" outlineLevel="0" collapsed="false">
      <c r="A68" s="15" t="n">
        <v>64</v>
      </c>
      <c r="B68" s="12" t="n">
        <f aca="false">IF($A68&lt;=Premissas!$B$7,-Premissas!$B$6,0)</f>
        <v>0</v>
      </c>
      <c r="C68" s="12" t="n">
        <f aca="false">-(IF($A68&lt;=Premissas!$B$7,Unitário!$B$26*Premissas!$B$10,0)+(D68+E68)*Premissas!$B$11)</f>
        <v>-0</v>
      </c>
      <c r="D68" s="27" t="n">
        <f aca="false">IF($A68&lt;=Premissas!$B$7,Unitário!$B$27*Premissas!$B$13,0)</f>
        <v>0</v>
      </c>
      <c r="E68" s="27" t="n">
        <f aca="false">IF($A68&lt;=Premissas!$B$7,Unitário!$B$27*Premissas!$B$14,0)</f>
        <v>0</v>
      </c>
      <c r="F68" s="12" t="n">
        <f aca="false">-Premissas!$B$47*Unitário!$B$22*D68</f>
        <v>-0</v>
      </c>
      <c r="G68" s="12" t="n">
        <f aca="false">IF($A68-(Premissas!$B$42)&gt;=1,INDEX($D$5:$D$94,$A68-(Premissas!$B$42)),0)*(Premissas!$B$47*Unitário!$B$22*(Premissas!$B$16+Premissas!$B$17)-Premissas!$B$48*Unitário!$B$24)</f>
        <v>-0</v>
      </c>
      <c r="H68" s="12" t="n">
        <f aca="false">IF($A68-(Premissas!$B$42+Premissas!$B$43)&gt;=1,INDEX($D$5:$D$94,$A68-(Premissas!$B$42+Premissas!$B$43)),0)*(Unitário!$B$21*Premissas!$B$39-(1-Premissas!$B$48)*Unitário!$B$24-(1-Premissas!$B$47)*Unitário!$B$21*Unitário!$B$22)</f>
        <v>0</v>
      </c>
      <c r="I68" s="12" t="n">
        <f aca="false">IF($A68-(Premissas!$B$44)&gt;=1,INDEX($E$5:$E$94,$A68-(Premissas!$B$44)),0)*(Premissas!$B$40-Unitário!$B$25)</f>
        <v>0</v>
      </c>
      <c r="J68" s="12" t="n">
        <f aca="false">E68*(-Premissas!$B$47*Unitário!$B$22-(1-Premissas!$B$17)*Premissas!$B$21)</f>
        <v>-0</v>
      </c>
      <c r="K68" s="12" t="n">
        <f aca="false">IF($A68-(Premissas!$B$45)&gt;=1,INDEX($E$5:$E$94,$A68-(Premissas!$B$45)),0)*Premissas!$B$17*(-Premissas!$B$40-Premissas!$B$29+Premissas!$B$47*Unitário!$B$22)</f>
        <v>-0</v>
      </c>
      <c r="L68" s="12" t="n">
        <f aca="false">-Premissas!$B$30*(IF($A68-(Premissas!$B$42+Premissas!$B$43)&gt;=1,INDEX($D$5:$D$94,$A68-(Premissas!$B$42+Premissas!$B$43)),0)*Unitário!$B$21*Premissas!$B$39+IF($A68-(Premissas!$B$44)&gt;=1,INDEX($E$5:$E$94,$A68-(Premissas!$B$44)),0)*(1-Premissas!$B$17)*Premissas!$B$40)</f>
        <v>-0</v>
      </c>
      <c r="M68" s="12" t="n">
        <f aca="false">-Premissas!$B$31</f>
        <v>-0</v>
      </c>
      <c r="N68" s="12" t="n">
        <f aca="false">B68+C68+F68+G68+H68+I68+J68+K68+L68+M68</f>
        <v>0</v>
      </c>
      <c r="O68" s="12" t="n">
        <f aca="false">O67+N68</f>
        <v>19118.703504</v>
      </c>
      <c r="P68" s="15" t="n">
        <f aca="false">IF(AND($A68&gt;$B$100,O68&gt;=0),1,0)</f>
        <v>1</v>
      </c>
    </row>
    <row r="69" customFormat="false" ht="15" hidden="false" customHeight="false" outlineLevel="0" collapsed="false">
      <c r="A69" s="15" t="n">
        <v>65</v>
      </c>
      <c r="B69" s="12" t="n">
        <f aca="false">IF($A69&lt;=Premissas!$B$7,-Premissas!$B$6,0)</f>
        <v>0</v>
      </c>
      <c r="C69" s="12" t="n">
        <f aca="false">-(IF($A69&lt;=Premissas!$B$7,Unitário!$B$26*Premissas!$B$10,0)+(D69+E69)*Premissas!$B$11)</f>
        <v>-0</v>
      </c>
      <c r="D69" s="27" t="n">
        <f aca="false">IF($A69&lt;=Premissas!$B$7,Unitário!$B$27*Premissas!$B$13,0)</f>
        <v>0</v>
      </c>
      <c r="E69" s="27" t="n">
        <f aca="false">IF($A69&lt;=Premissas!$B$7,Unitário!$B$27*Premissas!$B$14,0)</f>
        <v>0</v>
      </c>
      <c r="F69" s="12" t="n">
        <f aca="false">-Premissas!$B$47*Unitário!$B$22*D69</f>
        <v>-0</v>
      </c>
      <c r="G69" s="12" t="n">
        <f aca="false">IF($A69-(Premissas!$B$42)&gt;=1,INDEX($D$5:$D$94,$A69-(Premissas!$B$42)),0)*(Premissas!$B$47*Unitário!$B$22*(Premissas!$B$16+Premissas!$B$17)-Premissas!$B$48*Unitário!$B$24)</f>
        <v>-0</v>
      </c>
      <c r="H69" s="12" t="n">
        <f aca="false">IF($A69-(Premissas!$B$42+Premissas!$B$43)&gt;=1,INDEX($D$5:$D$94,$A69-(Premissas!$B$42+Premissas!$B$43)),0)*(Unitário!$B$21*Premissas!$B$39-(1-Premissas!$B$48)*Unitário!$B$24-(1-Premissas!$B$47)*Unitário!$B$21*Unitário!$B$22)</f>
        <v>0</v>
      </c>
      <c r="I69" s="12" t="n">
        <f aca="false">IF($A69-(Premissas!$B$44)&gt;=1,INDEX($E$5:$E$94,$A69-(Premissas!$B$44)),0)*(Premissas!$B$40-Unitário!$B$25)</f>
        <v>0</v>
      </c>
      <c r="J69" s="12" t="n">
        <f aca="false">E69*(-Premissas!$B$47*Unitário!$B$22-(1-Premissas!$B$17)*Premissas!$B$21)</f>
        <v>-0</v>
      </c>
      <c r="K69" s="12" t="n">
        <f aca="false">IF($A69-(Premissas!$B$45)&gt;=1,INDEX($E$5:$E$94,$A69-(Premissas!$B$45)),0)*Premissas!$B$17*(-Premissas!$B$40-Premissas!$B$29+Premissas!$B$47*Unitário!$B$22)</f>
        <v>-0</v>
      </c>
      <c r="L69" s="12" t="n">
        <f aca="false">-Premissas!$B$30*(IF($A69-(Premissas!$B$42+Premissas!$B$43)&gt;=1,INDEX($D$5:$D$94,$A69-(Premissas!$B$42+Premissas!$B$43)),0)*Unitário!$B$21*Premissas!$B$39+IF($A69-(Premissas!$B$44)&gt;=1,INDEX($E$5:$E$94,$A69-(Premissas!$B$44)),0)*(1-Premissas!$B$17)*Premissas!$B$40)</f>
        <v>-0</v>
      </c>
      <c r="M69" s="12" t="n">
        <f aca="false">-Premissas!$B$31</f>
        <v>-0</v>
      </c>
      <c r="N69" s="12" t="n">
        <f aca="false">B69+C69+F69+G69+H69+I69+J69+K69+L69+M69</f>
        <v>0</v>
      </c>
      <c r="O69" s="12" t="n">
        <f aca="false">O68+N69</f>
        <v>19118.703504</v>
      </c>
      <c r="P69" s="15" t="n">
        <f aca="false">IF(AND($A69&gt;$B$100,O69&gt;=0),1,0)</f>
        <v>1</v>
      </c>
    </row>
    <row r="70" customFormat="false" ht="15" hidden="false" customHeight="false" outlineLevel="0" collapsed="false">
      <c r="A70" s="15" t="n">
        <v>66</v>
      </c>
      <c r="B70" s="12" t="n">
        <f aca="false">IF($A70&lt;=Premissas!$B$7,-Premissas!$B$6,0)</f>
        <v>0</v>
      </c>
      <c r="C70" s="12" t="n">
        <f aca="false">-(IF($A70&lt;=Premissas!$B$7,Unitário!$B$26*Premissas!$B$10,0)+(D70+E70)*Premissas!$B$11)</f>
        <v>-0</v>
      </c>
      <c r="D70" s="27" t="n">
        <f aca="false">IF($A70&lt;=Premissas!$B$7,Unitário!$B$27*Premissas!$B$13,0)</f>
        <v>0</v>
      </c>
      <c r="E70" s="27" t="n">
        <f aca="false">IF($A70&lt;=Premissas!$B$7,Unitário!$B$27*Premissas!$B$14,0)</f>
        <v>0</v>
      </c>
      <c r="F70" s="12" t="n">
        <f aca="false">-Premissas!$B$47*Unitário!$B$22*D70</f>
        <v>-0</v>
      </c>
      <c r="G70" s="12" t="n">
        <f aca="false">IF($A70-(Premissas!$B$42)&gt;=1,INDEX($D$5:$D$94,$A70-(Premissas!$B$42)),0)*(Premissas!$B$47*Unitário!$B$22*(Premissas!$B$16+Premissas!$B$17)-Premissas!$B$48*Unitário!$B$24)</f>
        <v>-0</v>
      </c>
      <c r="H70" s="12" t="n">
        <f aca="false">IF($A70-(Premissas!$B$42+Premissas!$B$43)&gt;=1,INDEX($D$5:$D$94,$A70-(Premissas!$B$42+Premissas!$B$43)),0)*(Unitário!$B$21*Premissas!$B$39-(1-Premissas!$B$48)*Unitário!$B$24-(1-Premissas!$B$47)*Unitário!$B$21*Unitário!$B$22)</f>
        <v>0</v>
      </c>
      <c r="I70" s="12" t="n">
        <f aca="false">IF($A70-(Premissas!$B$44)&gt;=1,INDEX($E$5:$E$94,$A70-(Premissas!$B$44)),0)*(Premissas!$B$40-Unitário!$B$25)</f>
        <v>0</v>
      </c>
      <c r="J70" s="12" t="n">
        <f aca="false">E70*(-Premissas!$B$47*Unitário!$B$22-(1-Premissas!$B$17)*Premissas!$B$21)</f>
        <v>-0</v>
      </c>
      <c r="K70" s="12" t="n">
        <f aca="false">IF($A70-(Premissas!$B$45)&gt;=1,INDEX($E$5:$E$94,$A70-(Premissas!$B$45)),0)*Premissas!$B$17*(-Premissas!$B$40-Premissas!$B$29+Premissas!$B$47*Unitário!$B$22)</f>
        <v>-0</v>
      </c>
      <c r="L70" s="12" t="n">
        <f aca="false">-Premissas!$B$30*(IF($A70-(Premissas!$B$42+Premissas!$B$43)&gt;=1,INDEX($D$5:$D$94,$A70-(Premissas!$B$42+Premissas!$B$43)),0)*Unitário!$B$21*Premissas!$B$39+IF($A70-(Premissas!$B$44)&gt;=1,INDEX($E$5:$E$94,$A70-(Premissas!$B$44)),0)*(1-Premissas!$B$17)*Premissas!$B$40)</f>
        <v>-0</v>
      </c>
      <c r="M70" s="12" t="n">
        <f aca="false">-Premissas!$B$31</f>
        <v>-0</v>
      </c>
      <c r="N70" s="12" t="n">
        <f aca="false">B70+C70+F70+G70+H70+I70+J70+K70+L70+M70</f>
        <v>0</v>
      </c>
      <c r="O70" s="12" t="n">
        <f aca="false">O69+N70</f>
        <v>19118.703504</v>
      </c>
      <c r="P70" s="15" t="n">
        <f aca="false">IF(AND($A70&gt;$B$100,O70&gt;=0),1,0)</f>
        <v>1</v>
      </c>
    </row>
    <row r="71" customFormat="false" ht="15" hidden="false" customHeight="false" outlineLevel="0" collapsed="false">
      <c r="A71" s="15" t="n">
        <v>67</v>
      </c>
      <c r="B71" s="12" t="n">
        <f aca="false">IF($A71&lt;=Premissas!$B$7,-Premissas!$B$6,0)</f>
        <v>0</v>
      </c>
      <c r="C71" s="12" t="n">
        <f aca="false">-(IF($A71&lt;=Premissas!$B$7,Unitário!$B$26*Premissas!$B$10,0)+(D71+E71)*Premissas!$B$11)</f>
        <v>-0</v>
      </c>
      <c r="D71" s="27" t="n">
        <f aca="false">IF($A71&lt;=Premissas!$B$7,Unitário!$B$27*Premissas!$B$13,0)</f>
        <v>0</v>
      </c>
      <c r="E71" s="27" t="n">
        <f aca="false">IF($A71&lt;=Premissas!$B$7,Unitário!$B$27*Premissas!$B$14,0)</f>
        <v>0</v>
      </c>
      <c r="F71" s="12" t="n">
        <f aca="false">-Premissas!$B$47*Unitário!$B$22*D71</f>
        <v>-0</v>
      </c>
      <c r="G71" s="12" t="n">
        <f aca="false">IF($A71-(Premissas!$B$42)&gt;=1,INDEX($D$5:$D$94,$A71-(Premissas!$B$42)),0)*(Premissas!$B$47*Unitário!$B$22*(Premissas!$B$16+Premissas!$B$17)-Premissas!$B$48*Unitário!$B$24)</f>
        <v>-0</v>
      </c>
      <c r="H71" s="12" t="n">
        <f aca="false">IF($A71-(Premissas!$B$42+Premissas!$B$43)&gt;=1,INDEX($D$5:$D$94,$A71-(Premissas!$B$42+Premissas!$B$43)),0)*(Unitário!$B$21*Premissas!$B$39-(1-Premissas!$B$48)*Unitário!$B$24-(1-Premissas!$B$47)*Unitário!$B$21*Unitário!$B$22)</f>
        <v>0</v>
      </c>
      <c r="I71" s="12" t="n">
        <f aca="false">IF($A71-(Premissas!$B$44)&gt;=1,INDEX($E$5:$E$94,$A71-(Premissas!$B$44)),0)*(Premissas!$B$40-Unitário!$B$25)</f>
        <v>0</v>
      </c>
      <c r="J71" s="12" t="n">
        <f aca="false">E71*(-Premissas!$B$47*Unitário!$B$22-(1-Premissas!$B$17)*Premissas!$B$21)</f>
        <v>-0</v>
      </c>
      <c r="K71" s="12" t="n">
        <f aca="false">IF($A71-(Premissas!$B$45)&gt;=1,INDEX($E$5:$E$94,$A71-(Premissas!$B$45)),0)*Premissas!$B$17*(-Premissas!$B$40-Premissas!$B$29+Premissas!$B$47*Unitário!$B$22)</f>
        <v>-0</v>
      </c>
      <c r="L71" s="12" t="n">
        <f aca="false">-Premissas!$B$30*(IF($A71-(Premissas!$B$42+Premissas!$B$43)&gt;=1,INDEX($D$5:$D$94,$A71-(Premissas!$B$42+Premissas!$B$43)),0)*Unitário!$B$21*Premissas!$B$39+IF($A71-(Premissas!$B$44)&gt;=1,INDEX($E$5:$E$94,$A71-(Premissas!$B$44)),0)*(1-Premissas!$B$17)*Premissas!$B$40)</f>
        <v>-0</v>
      </c>
      <c r="M71" s="12" t="n">
        <f aca="false">-Premissas!$B$31</f>
        <v>-0</v>
      </c>
      <c r="N71" s="12" t="n">
        <f aca="false">B71+C71+F71+G71+H71+I71+J71+K71+L71+M71</f>
        <v>0</v>
      </c>
      <c r="O71" s="12" t="n">
        <f aca="false">O70+N71</f>
        <v>19118.703504</v>
      </c>
      <c r="P71" s="15" t="n">
        <f aca="false">IF(AND($A71&gt;$B$100,O71&gt;=0),1,0)</f>
        <v>1</v>
      </c>
    </row>
    <row r="72" customFormat="false" ht="15" hidden="false" customHeight="false" outlineLevel="0" collapsed="false">
      <c r="A72" s="15" t="n">
        <v>68</v>
      </c>
      <c r="B72" s="12" t="n">
        <f aca="false">IF($A72&lt;=Premissas!$B$7,-Premissas!$B$6,0)</f>
        <v>0</v>
      </c>
      <c r="C72" s="12" t="n">
        <f aca="false">-(IF($A72&lt;=Premissas!$B$7,Unitário!$B$26*Premissas!$B$10,0)+(D72+E72)*Premissas!$B$11)</f>
        <v>-0</v>
      </c>
      <c r="D72" s="27" t="n">
        <f aca="false">IF($A72&lt;=Premissas!$B$7,Unitário!$B$27*Premissas!$B$13,0)</f>
        <v>0</v>
      </c>
      <c r="E72" s="27" t="n">
        <f aca="false">IF($A72&lt;=Premissas!$B$7,Unitário!$B$27*Premissas!$B$14,0)</f>
        <v>0</v>
      </c>
      <c r="F72" s="12" t="n">
        <f aca="false">-Premissas!$B$47*Unitário!$B$22*D72</f>
        <v>-0</v>
      </c>
      <c r="G72" s="12" t="n">
        <f aca="false">IF($A72-(Premissas!$B$42)&gt;=1,INDEX($D$5:$D$94,$A72-(Premissas!$B$42)),0)*(Premissas!$B$47*Unitário!$B$22*(Premissas!$B$16+Premissas!$B$17)-Premissas!$B$48*Unitário!$B$24)</f>
        <v>-0</v>
      </c>
      <c r="H72" s="12" t="n">
        <f aca="false">IF($A72-(Premissas!$B$42+Premissas!$B$43)&gt;=1,INDEX($D$5:$D$94,$A72-(Premissas!$B$42+Premissas!$B$43)),0)*(Unitário!$B$21*Premissas!$B$39-(1-Premissas!$B$48)*Unitário!$B$24-(1-Premissas!$B$47)*Unitário!$B$21*Unitário!$B$22)</f>
        <v>0</v>
      </c>
      <c r="I72" s="12" t="n">
        <f aca="false">IF($A72-(Premissas!$B$44)&gt;=1,INDEX($E$5:$E$94,$A72-(Premissas!$B$44)),0)*(Premissas!$B$40-Unitário!$B$25)</f>
        <v>0</v>
      </c>
      <c r="J72" s="12" t="n">
        <f aca="false">E72*(-Premissas!$B$47*Unitário!$B$22-(1-Premissas!$B$17)*Premissas!$B$21)</f>
        <v>-0</v>
      </c>
      <c r="K72" s="12" t="n">
        <f aca="false">IF($A72-(Premissas!$B$45)&gt;=1,INDEX($E$5:$E$94,$A72-(Premissas!$B$45)),0)*Premissas!$B$17*(-Premissas!$B$40-Premissas!$B$29+Premissas!$B$47*Unitário!$B$22)</f>
        <v>-0</v>
      </c>
      <c r="L72" s="12" t="n">
        <f aca="false">-Premissas!$B$30*(IF($A72-(Premissas!$B$42+Premissas!$B$43)&gt;=1,INDEX($D$5:$D$94,$A72-(Premissas!$B$42+Premissas!$B$43)),0)*Unitário!$B$21*Premissas!$B$39+IF($A72-(Premissas!$B$44)&gt;=1,INDEX($E$5:$E$94,$A72-(Premissas!$B$44)),0)*(1-Premissas!$B$17)*Premissas!$B$40)</f>
        <v>-0</v>
      </c>
      <c r="M72" s="12" t="n">
        <f aca="false">-Premissas!$B$31</f>
        <v>-0</v>
      </c>
      <c r="N72" s="12" t="n">
        <f aca="false">B72+C72+F72+G72+H72+I72+J72+K72+L72+M72</f>
        <v>0</v>
      </c>
      <c r="O72" s="12" t="n">
        <f aca="false">O71+N72</f>
        <v>19118.703504</v>
      </c>
      <c r="P72" s="15" t="n">
        <f aca="false">IF(AND($A72&gt;$B$100,O72&gt;=0),1,0)</f>
        <v>1</v>
      </c>
    </row>
    <row r="73" customFormat="false" ht="15" hidden="false" customHeight="false" outlineLevel="0" collapsed="false">
      <c r="A73" s="15" t="n">
        <v>69</v>
      </c>
      <c r="B73" s="12" t="n">
        <f aca="false">IF($A73&lt;=Premissas!$B$7,-Premissas!$B$6,0)</f>
        <v>0</v>
      </c>
      <c r="C73" s="12" t="n">
        <f aca="false">-(IF($A73&lt;=Premissas!$B$7,Unitário!$B$26*Premissas!$B$10,0)+(D73+E73)*Premissas!$B$11)</f>
        <v>-0</v>
      </c>
      <c r="D73" s="27" t="n">
        <f aca="false">IF($A73&lt;=Premissas!$B$7,Unitário!$B$27*Premissas!$B$13,0)</f>
        <v>0</v>
      </c>
      <c r="E73" s="27" t="n">
        <f aca="false">IF($A73&lt;=Premissas!$B$7,Unitário!$B$27*Premissas!$B$14,0)</f>
        <v>0</v>
      </c>
      <c r="F73" s="12" t="n">
        <f aca="false">-Premissas!$B$47*Unitário!$B$22*D73</f>
        <v>-0</v>
      </c>
      <c r="G73" s="12" t="n">
        <f aca="false">IF($A73-(Premissas!$B$42)&gt;=1,INDEX($D$5:$D$94,$A73-(Premissas!$B$42)),0)*(Premissas!$B$47*Unitário!$B$22*(Premissas!$B$16+Premissas!$B$17)-Premissas!$B$48*Unitário!$B$24)</f>
        <v>-0</v>
      </c>
      <c r="H73" s="12" t="n">
        <f aca="false">IF($A73-(Premissas!$B$42+Premissas!$B$43)&gt;=1,INDEX($D$5:$D$94,$A73-(Premissas!$B$42+Premissas!$B$43)),0)*(Unitário!$B$21*Premissas!$B$39-(1-Premissas!$B$48)*Unitário!$B$24-(1-Premissas!$B$47)*Unitário!$B$21*Unitário!$B$22)</f>
        <v>0</v>
      </c>
      <c r="I73" s="12" t="n">
        <f aca="false">IF($A73-(Premissas!$B$44)&gt;=1,INDEX($E$5:$E$94,$A73-(Premissas!$B$44)),0)*(Premissas!$B$40-Unitário!$B$25)</f>
        <v>0</v>
      </c>
      <c r="J73" s="12" t="n">
        <f aca="false">E73*(-Premissas!$B$47*Unitário!$B$22-(1-Premissas!$B$17)*Premissas!$B$21)</f>
        <v>-0</v>
      </c>
      <c r="K73" s="12" t="n">
        <f aca="false">IF($A73-(Premissas!$B$45)&gt;=1,INDEX($E$5:$E$94,$A73-(Premissas!$B$45)),0)*Premissas!$B$17*(-Premissas!$B$40-Premissas!$B$29+Premissas!$B$47*Unitário!$B$22)</f>
        <v>-0</v>
      </c>
      <c r="L73" s="12" t="n">
        <f aca="false">-Premissas!$B$30*(IF($A73-(Premissas!$B$42+Premissas!$B$43)&gt;=1,INDEX($D$5:$D$94,$A73-(Premissas!$B$42+Premissas!$B$43)),0)*Unitário!$B$21*Premissas!$B$39+IF($A73-(Premissas!$B$44)&gt;=1,INDEX($E$5:$E$94,$A73-(Premissas!$B$44)),0)*(1-Premissas!$B$17)*Premissas!$B$40)</f>
        <v>-0</v>
      </c>
      <c r="M73" s="12" t="n">
        <f aca="false">-Premissas!$B$31</f>
        <v>-0</v>
      </c>
      <c r="N73" s="12" t="n">
        <f aca="false">B73+C73+F73+G73+H73+I73+J73+K73+L73+M73</f>
        <v>0</v>
      </c>
      <c r="O73" s="12" t="n">
        <f aca="false">O72+N73</f>
        <v>19118.703504</v>
      </c>
      <c r="P73" s="15" t="n">
        <f aca="false">IF(AND($A73&gt;$B$100,O73&gt;=0),1,0)</f>
        <v>1</v>
      </c>
    </row>
    <row r="74" customFormat="false" ht="15" hidden="false" customHeight="false" outlineLevel="0" collapsed="false">
      <c r="A74" s="15" t="n">
        <v>70</v>
      </c>
      <c r="B74" s="12" t="n">
        <f aca="false">IF($A74&lt;=Premissas!$B$7,-Premissas!$B$6,0)</f>
        <v>0</v>
      </c>
      <c r="C74" s="12" t="n">
        <f aca="false">-(IF($A74&lt;=Premissas!$B$7,Unitário!$B$26*Premissas!$B$10,0)+(D74+E74)*Premissas!$B$11)</f>
        <v>-0</v>
      </c>
      <c r="D74" s="27" t="n">
        <f aca="false">IF($A74&lt;=Premissas!$B$7,Unitário!$B$27*Premissas!$B$13,0)</f>
        <v>0</v>
      </c>
      <c r="E74" s="27" t="n">
        <f aca="false">IF($A74&lt;=Premissas!$B$7,Unitário!$B$27*Premissas!$B$14,0)</f>
        <v>0</v>
      </c>
      <c r="F74" s="12" t="n">
        <f aca="false">-Premissas!$B$47*Unitário!$B$22*D74</f>
        <v>-0</v>
      </c>
      <c r="G74" s="12" t="n">
        <f aca="false">IF($A74-(Premissas!$B$42)&gt;=1,INDEX($D$5:$D$94,$A74-(Premissas!$B$42)),0)*(Premissas!$B$47*Unitário!$B$22*(Premissas!$B$16+Premissas!$B$17)-Premissas!$B$48*Unitário!$B$24)</f>
        <v>-0</v>
      </c>
      <c r="H74" s="12" t="n">
        <f aca="false">IF($A74-(Premissas!$B$42+Premissas!$B$43)&gt;=1,INDEX($D$5:$D$94,$A74-(Premissas!$B$42+Premissas!$B$43)),0)*(Unitário!$B$21*Premissas!$B$39-(1-Premissas!$B$48)*Unitário!$B$24-(1-Premissas!$B$47)*Unitário!$B$21*Unitário!$B$22)</f>
        <v>0</v>
      </c>
      <c r="I74" s="12" t="n">
        <f aca="false">IF($A74-(Premissas!$B$44)&gt;=1,INDEX($E$5:$E$94,$A74-(Premissas!$B$44)),0)*(Premissas!$B$40-Unitário!$B$25)</f>
        <v>0</v>
      </c>
      <c r="J74" s="12" t="n">
        <f aca="false">E74*(-Premissas!$B$47*Unitário!$B$22-(1-Premissas!$B$17)*Premissas!$B$21)</f>
        <v>-0</v>
      </c>
      <c r="K74" s="12" t="n">
        <f aca="false">IF($A74-(Premissas!$B$45)&gt;=1,INDEX($E$5:$E$94,$A74-(Premissas!$B$45)),0)*Premissas!$B$17*(-Premissas!$B$40-Premissas!$B$29+Premissas!$B$47*Unitário!$B$22)</f>
        <v>-0</v>
      </c>
      <c r="L74" s="12" t="n">
        <f aca="false">-Premissas!$B$30*(IF($A74-(Premissas!$B$42+Premissas!$B$43)&gt;=1,INDEX($D$5:$D$94,$A74-(Premissas!$B$42+Premissas!$B$43)),0)*Unitário!$B$21*Premissas!$B$39+IF($A74-(Premissas!$B$44)&gt;=1,INDEX($E$5:$E$94,$A74-(Premissas!$B$44)),0)*(1-Premissas!$B$17)*Premissas!$B$40)</f>
        <v>-0</v>
      </c>
      <c r="M74" s="12" t="n">
        <f aca="false">-Premissas!$B$31</f>
        <v>-0</v>
      </c>
      <c r="N74" s="12" t="n">
        <f aca="false">B74+C74+F74+G74+H74+I74+J74+K74+L74+M74</f>
        <v>0</v>
      </c>
      <c r="O74" s="12" t="n">
        <f aca="false">O73+N74</f>
        <v>19118.703504</v>
      </c>
      <c r="P74" s="15" t="n">
        <f aca="false">IF(AND($A74&gt;$B$100,O74&gt;=0),1,0)</f>
        <v>1</v>
      </c>
    </row>
    <row r="75" customFormat="false" ht="15" hidden="false" customHeight="false" outlineLevel="0" collapsed="false">
      <c r="A75" s="15" t="n">
        <v>71</v>
      </c>
      <c r="B75" s="12" t="n">
        <f aca="false">IF($A75&lt;=Premissas!$B$7,-Premissas!$B$6,0)</f>
        <v>0</v>
      </c>
      <c r="C75" s="12" t="n">
        <f aca="false">-(IF($A75&lt;=Premissas!$B$7,Unitário!$B$26*Premissas!$B$10,0)+(D75+E75)*Premissas!$B$11)</f>
        <v>-0</v>
      </c>
      <c r="D75" s="27" t="n">
        <f aca="false">IF($A75&lt;=Premissas!$B$7,Unitário!$B$27*Premissas!$B$13,0)</f>
        <v>0</v>
      </c>
      <c r="E75" s="27" t="n">
        <f aca="false">IF($A75&lt;=Premissas!$B$7,Unitário!$B$27*Premissas!$B$14,0)</f>
        <v>0</v>
      </c>
      <c r="F75" s="12" t="n">
        <f aca="false">-Premissas!$B$47*Unitário!$B$22*D75</f>
        <v>-0</v>
      </c>
      <c r="G75" s="12" t="n">
        <f aca="false">IF($A75-(Premissas!$B$42)&gt;=1,INDEX($D$5:$D$94,$A75-(Premissas!$B$42)),0)*(Premissas!$B$47*Unitário!$B$22*(Premissas!$B$16+Premissas!$B$17)-Premissas!$B$48*Unitário!$B$24)</f>
        <v>-0</v>
      </c>
      <c r="H75" s="12" t="n">
        <f aca="false">IF($A75-(Premissas!$B$42+Premissas!$B$43)&gt;=1,INDEX($D$5:$D$94,$A75-(Premissas!$B$42+Premissas!$B$43)),0)*(Unitário!$B$21*Premissas!$B$39-(1-Premissas!$B$48)*Unitário!$B$24-(1-Premissas!$B$47)*Unitário!$B$21*Unitário!$B$22)</f>
        <v>0</v>
      </c>
      <c r="I75" s="12" t="n">
        <f aca="false">IF($A75-(Premissas!$B$44)&gt;=1,INDEX($E$5:$E$94,$A75-(Premissas!$B$44)),0)*(Premissas!$B$40-Unitário!$B$25)</f>
        <v>0</v>
      </c>
      <c r="J75" s="12" t="n">
        <f aca="false">E75*(-Premissas!$B$47*Unitário!$B$22-(1-Premissas!$B$17)*Premissas!$B$21)</f>
        <v>-0</v>
      </c>
      <c r="K75" s="12" t="n">
        <f aca="false">IF($A75-(Premissas!$B$45)&gt;=1,INDEX($E$5:$E$94,$A75-(Premissas!$B$45)),0)*Premissas!$B$17*(-Premissas!$B$40-Premissas!$B$29+Premissas!$B$47*Unitário!$B$22)</f>
        <v>-0</v>
      </c>
      <c r="L75" s="12" t="n">
        <f aca="false">-Premissas!$B$30*(IF($A75-(Premissas!$B$42+Premissas!$B$43)&gt;=1,INDEX($D$5:$D$94,$A75-(Premissas!$B$42+Premissas!$B$43)),0)*Unitário!$B$21*Premissas!$B$39+IF($A75-(Premissas!$B$44)&gt;=1,INDEX($E$5:$E$94,$A75-(Premissas!$B$44)),0)*(1-Premissas!$B$17)*Premissas!$B$40)</f>
        <v>-0</v>
      </c>
      <c r="M75" s="12" t="n">
        <f aca="false">-Premissas!$B$31</f>
        <v>-0</v>
      </c>
      <c r="N75" s="12" t="n">
        <f aca="false">B75+C75+F75+G75+H75+I75+J75+K75+L75+M75</f>
        <v>0</v>
      </c>
      <c r="O75" s="12" t="n">
        <f aca="false">O74+N75</f>
        <v>19118.703504</v>
      </c>
      <c r="P75" s="15" t="n">
        <f aca="false">IF(AND($A75&gt;$B$100,O75&gt;=0),1,0)</f>
        <v>1</v>
      </c>
    </row>
    <row r="76" customFormat="false" ht="15" hidden="false" customHeight="false" outlineLevel="0" collapsed="false">
      <c r="A76" s="15" t="n">
        <v>72</v>
      </c>
      <c r="B76" s="12" t="n">
        <f aca="false">IF($A76&lt;=Premissas!$B$7,-Premissas!$B$6,0)</f>
        <v>0</v>
      </c>
      <c r="C76" s="12" t="n">
        <f aca="false">-(IF($A76&lt;=Premissas!$B$7,Unitário!$B$26*Premissas!$B$10,0)+(D76+E76)*Premissas!$B$11)</f>
        <v>-0</v>
      </c>
      <c r="D76" s="27" t="n">
        <f aca="false">IF($A76&lt;=Premissas!$B$7,Unitário!$B$27*Premissas!$B$13,0)</f>
        <v>0</v>
      </c>
      <c r="E76" s="27" t="n">
        <f aca="false">IF($A76&lt;=Premissas!$B$7,Unitário!$B$27*Premissas!$B$14,0)</f>
        <v>0</v>
      </c>
      <c r="F76" s="12" t="n">
        <f aca="false">-Premissas!$B$47*Unitário!$B$22*D76</f>
        <v>-0</v>
      </c>
      <c r="G76" s="12" t="n">
        <f aca="false">IF($A76-(Premissas!$B$42)&gt;=1,INDEX($D$5:$D$94,$A76-(Premissas!$B$42)),0)*(Premissas!$B$47*Unitário!$B$22*(Premissas!$B$16+Premissas!$B$17)-Premissas!$B$48*Unitário!$B$24)</f>
        <v>-0</v>
      </c>
      <c r="H76" s="12" t="n">
        <f aca="false">IF($A76-(Premissas!$B$42+Premissas!$B$43)&gt;=1,INDEX($D$5:$D$94,$A76-(Premissas!$B$42+Premissas!$B$43)),0)*(Unitário!$B$21*Premissas!$B$39-(1-Premissas!$B$48)*Unitário!$B$24-(1-Premissas!$B$47)*Unitário!$B$21*Unitário!$B$22)</f>
        <v>0</v>
      </c>
      <c r="I76" s="12" t="n">
        <f aca="false">IF($A76-(Premissas!$B$44)&gt;=1,INDEX($E$5:$E$94,$A76-(Premissas!$B$44)),0)*(Premissas!$B$40-Unitário!$B$25)</f>
        <v>0</v>
      </c>
      <c r="J76" s="12" t="n">
        <f aca="false">E76*(-Premissas!$B$47*Unitário!$B$22-(1-Premissas!$B$17)*Premissas!$B$21)</f>
        <v>-0</v>
      </c>
      <c r="K76" s="12" t="n">
        <f aca="false">IF($A76-(Premissas!$B$45)&gt;=1,INDEX($E$5:$E$94,$A76-(Premissas!$B$45)),0)*Premissas!$B$17*(-Premissas!$B$40-Premissas!$B$29+Premissas!$B$47*Unitário!$B$22)</f>
        <v>-0</v>
      </c>
      <c r="L76" s="12" t="n">
        <f aca="false">-Premissas!$B$30*(IF($A76-(Premissas!$B$42+Premissas!$B$43)&gt;=1,INDEX($D$5:$D$94,$A76-(Premissas!$B$42+Premissas!$B$43)),0)*Unitário!$B$21*Premissas!$B$39+IF($A76-(Premissas!$B$44)&gt;=1,INDEX($E$5:$E$94,$A76-(Premissas!$B$44)),0)*(1-Premissas!$B$17)*Premissas!$B$40)</f>
        <v>-0</v>
      </c>
      <c r="M76" s="12" t="n">
        <f aca="false">-Premissas!$B$31</f>
        <v>-0</v>
      </c>
      <c r="N76" s="12" t="n">
        <f aca="false">B76+C76+F76+G76+H76+I76+J76+K76+L76+M76</f>
        <v>0</v>
      </c>
      <c r="O76" s="12" t="n">
        <f aca="false">O75+N76</f>
        <v>19118.703504</v>
      </c>
      <c r="P76" s="15" t="n">
        <f aca="false">IF(AND($A76&gt;$B$100,O76&gt;=0),1,0)</f>
        <v>1</v>
      </c>
    </row>
    <row r="77" customFormat="false" ht="15" hidden="false" customHeight="false" outlineLevel="0" collapsed="false">
      <c r="A77" s="15" t="n">
        <v>73</v>
      </c>
      <c r="B77" s="12" t="n">
        <f aca="false">IF($A77&lt;=Premissas!$B$7,-Premissas!$B$6,0)</f>
        <v>0</v>
      </c>
      <c r="C77" s="12" t="n">
        <f aca="false">-(IF($A77&lt;=Premissas!$B$7,Unitário!$B$26*Premissas!$B$10,0)+(D77+E77)*Premissas!$B$11)</f>
        <v>-0</v>
      </c>
      <c r="D77" s="27" t="n">
        <f aca="false">IF($A77&lt;=Premissas!$B$7,Unitário!$B$27*Premissas!$B$13,0)</f>
        <v>0</v>
      </c>
      <c r="E77" s="27" t="n">
        <f aca="false">IF($A77&lt;=Premissas!$B$7,Unitário!$B$27*Premissas!$B$14,0)</f>
        <v>0</v>
      </c>
      <c r="F77" s="12" t="n">
        <f aca="false">-Premissas!$B$47*Unitário!$B$22*D77</f>
        <v>-0</v>
      </c>
      <c r="G77" s="12" t="n">
        <f aca="false">IF($A77-(Premissas!$B$42)&gt;=1,INDEX($D$5:$D$94,$A77-(Premissas!$B$42)),0)*(Premissas!$B$47*Unitário!$B$22*(Premissas!$B$16+Premissas!$B$17)-Premissas!$B$48*Unitário!$B$24)</f>
        <v>-0</v>
      </c>
      <c r="H77" s="12" t="n">
        <f aca="false">IF($A77-(Premissas!$B$42+Premissas!$B$43)&gt;=1,INDEX($D$5:$D$94,$A77-(Premissas!$B$42+Premissas!$B$43)),0)*(Unitário!$B$21*Premissas!$B$39-(1-Premissas!$B$48)*Unitário!$B$24-(1-Premissas!$B$47)*Unitário!$B$21*Unitário!$B$22)</f>
        <v>0</v>
      </c>
      <c r="I77" s="12" t="n">
        <f aca="false">IF($A77-(Premissas!$B$44)&gt;=1,INDEX($E$5:$E$94,$A77-(Premissas!$B$44)),0)*(Premissas!$B$40-Unitário!$B$25)</f>
        <v>0</v>
      </c>
      <c r="J77" s="12" t="n">
        <f aca="false">E77*(-Premissas!$B$47*Unitário!$B$22-(1-Premissas!$B$17)*Premissas!$B$21)</f>
        <v>-0</v>
      </c>
      <c r="K77" s="12" t="n">
        <f aca="false">IF($A77-(Premissas!$B$45)&gt;=1,INDEX($E$5:$E$94,$A77-(Premissas!$B$45)),0)*Premissas!$B$17*(-Premissas!$B$40-Premissas!$B$29+Premissas!$B$47*Unitário!$B$22)</f>
        <v>-0</v>
      </c>
      <c r="L77" s="12" t="n">
        <f aca="false">-Premissas!$B$30*(IF($A77-(Premissas!$B$42+Premissas!$B$43)&gt;=1,INDEX($D$5:$D$94,$A77-(Premissas!$B$42+Premissas!$B$43)),0)*Unitário!$B$21*Premissas!$B$39+IF($A77-(Premissas!$B$44)&gt;=1,INDEX($E$5:$E$94,$A77-(Premissas!$B$44)),0)*(1-Premissas!$B$17)*Premissas!$B$40)</f>
        <v>-0</v>
      </c>
      <c r="M77" s="12" t="n">
        <f aca="false">-Premissas!$B$31</f>
        <v>-0</v>
      </c>
      <c r="N77" s="12" t="n">
        <f aca="false">B77+C77+F77+G77+H77+I77+J77+K77+L77+M77</f>
        <v>0</v>
      </c>
      <c r="O77" s="12" t="n">
        <f aca="false">O76+N77</f>
        <v>19118.703504</v>
      </c>
      <c r="P77" s="15" t="n">
        <f aca="false">IF(AND($A77&gt;$B$100,O77&gt;=0),1,0)</f>
        <v>1</v>
      </c>
    </row>
    <row r="78" customFormat="false" ht="15" hidden="false" customHeight="false" outlineLevel="0" collapsed="false">
      <c r="A78" s="15" t="n">
        <v>74</v>
      </c>
      <c r="B78" s="12" t="n">
        <f aca="false">IF($A78&lt;=Premissas!$B$7,-Premissas!$B$6,0)</f>
        <v>0</v>
      </c>
      <c r="C78" s="12" t="n">
        <f aca="false">-(IF($A78&lt;=Premissas!$B$7,Unitário!$B$26*Premissas!$B$10,0)+(D78+E78)*Premissas!$B$11)</f>
        <v>-0</v>
      </c>
      <c r="D78" s="27" t="n">
        <f aca="false">IF($A78&lt;=Premissas!$B$7,Unitário!$B$27*Premissas!$B$13,0)</f>
        <v>0</v>
      </c>
      <c r="E78" s="27" t="n">
        <f aca="false">IF($A78&lt;=Premissas!$B$7,Unitário!$B$27*Premissas!$B$14,0)</f>
        <v>0</v>
      </c>
      <c r="F78" s="12" t="n">
        <f aca="false">-Premissas!$B$47*Unitário!$B$22*D78</f>
        <v>-0</v>
      </c>
      <c r="G78" s="12" t="n">
        <f aca="false">IF($A78-(Premissas!$B$42)&gt;=1,INDEX($D$5:$D$94,$A78-(Premissas!$B$42)),0)*(Premissas!$B$47*Unitário!$B$22*(Premissas!$B$16+Premissas!$B$17)-Premissas!$B$48*Unitário!$B$24)</f>
        <v>-0</v>
      </c>
      <c r="H78" s="12" t="n">
        <f aca="false">IF($A78-(Premissas!$B$42+Premissas!$B$43)&gt;=1,INDEX($D$5:$D$94,$A78-(Premissas!$B$42+Premissas!$B$43)),0)*(Unitário!$B$21*Premissas!$B$39-(1-Premissas!$B$48)*Unitário!$B$24-(1-Premissas!$B$47)*Unitário!$B$21*Unitário!$B$22)</f>
        <v>0</v>
      </c>
      <c r="I78" s="12" t="n">
        <f aca="false">IF($A78-(Premissas!$B$44)&gt;=1,INDEX($E$5:$E$94,$A78-(Premissas!$B$44)),0)*(Premissas!$B$40-Unitário!$B$25)</f>
        <v>0</v>
      </c>
      <c r="J78" s="12" t="n">
        <f aca="false">E78*(-Premissas!$B$47*Unitário!$B$22-(1-Premissas!$B$17)*Premissas!$B$21)</f>
        <v>-0</v>
      </c>
      <c r="K78" s="12" t="n">
        <f aca="false">IF($A78-(Premissas!$B$45)&gt;=1,INDEX($E$5:$E$94,$A78-(Premissas!$B$45)),0)*Premissas!$B$17*(-Premissas!$B$40-Premissas!$B$29+Premissas!$B$47*Unitário!$B$22)</f>
        <v>-0</v>
      </c>
      <c r="L78" s="12" t="n">
        <f aca="false">-Premissas!$B$30*(IF($A78-(Premissas!$B$42+Premissas!$B$43)&gt;=1,INDEX($D$5:$D$94,$A78-(Premissas!$B$42+Premissas!$B$43)),0)*Unitário!$B$21*Premissas!$B$39+IF($A78-(Premissas!$B$44)&gt;=1,INDEX($E$5:$E$94,$A78-(Premissas!$B$44)),0)*(1-Premissas!$B$17)*Premissas!$B$40)</f>
        <v>-0</v>
      </c>
      <c r="M78" s="12" t="n">
        <f aca="false">-Premissas!$B$31</f>
        <v>-0</v>
      </c>
      <c r="N78" s="12" t="n">
        <f aca="false">B78+C78+F78+G78+H78+I78+J78+K78+L78+M78</f>
        <v>0</v>
      </c>
      <c r="O78" s="12" t="n">
        <f aca="false">O77+N78</f>
        <v>19118.703504</v>
      </c>
      <c r="P78" s="15" t="n">
        <f aca="false">IF(AND($A78&gt;$B$100,O78&gt;=0),1,0)</f>
        <v>1</v>
      </c>
    </row>
    <row r="79" customFormat="false" ht="15" hidden="false" customHeight="false" outlineLevel="0" collapsed="false">
      <c r="A79" s="15" t="n">
        <v>75</v>
      </c>
      <c r="B79" s="12" t="n">
        <f aca="false">IF($A79&lt;=Premissas!$B$7,-Premissas!$B$6,0)</f>
        <v>0</v>
      </c>
      <c r="C79" s="12" t="n">
        <f aca="false">-(IF($A79&lt;=Premissas!$B$7,Unitário!$B$26*Premissas!$B$10,0)+(D79+E79)*Premissas!$B$11)</f>
        <v>-0</v>
      </c>
      <c r="D79" s="27" t="n">
        <f aca="false">IF($A79&lt;=Premissas!$B$7,Unitário!$B$27*Premissas!$B$13,0)</f>
        <v>0</v>
      </c>
      <c r="E79" s="27" t="n">
        <f aca="false">IF($A79&lt;=Premissas!$B$7,Unitário!$B$27*Premissas!$B$14,0)</f>
        <v>0</v>
      </c>
      <c r="F79" s="12" t="n">
        <f aca="false">-Premissas!$B$47*Unitário!$B$22*D79</f>
        <v>-0</v>
      </c>
      <c r="G79" s="12" t="n">
        <f aca="false">IF($A79-(Premissas!$B$42)&gt;=1,INDEX($D$5:$D$94,$A79-(Premissas!$B$42)),0)*(Premissas!$B$47*Unitário!$B$22*(Premissas!$B$16+Premissas!$B$17)-Premissas!$B$48*Unitário!$B$24)</f>
        <v>-0</v>
      </c>
      <c r="H79" s="12" t="n">
        <f aca="false">IF($A79-(Premissas!$B$42+Premissas!$B$43)&gt;=1,INDEX($D$5:$D$94,$A79-(Premissas!$B$42+Premissas!$B$43)),0)*(Unitário!$B$21*Premissas!$B$39-(1-Premissas!$B$48)*Unitário!$B$24-(1-Premissas!$B$47)*Unitário!$B$21*Unitário!$B$22)</f>
        <v>0</v>
      </c>
      <c r="I79" s="12" t="n">
        <f aca="false">IF($A79-(Premissas!$B$44)&gt;=1,INDEX($E$5:$E$94,$A79-(Premissas!$B$44)),0)*(Premissas!$B$40-Unitário!$B$25)</f>
        <v>0</v>
      </c>
      <c r="J79" s="12" t="n">
        <f aca="false">E79*(-Premissas!$B$47*Unitário!$B$22-(1-Premissas!$B$17)*Premissas!$B$21)</f>
        <v>-0</v>
      </c>
      <c r="K79" s="12" t="n">
        <f aca="false">IF($A79-(Premissas!$B$45)&gt;=1,INDEX($E$5:$E$94,$A79-(Premissas!$B$45)),0)*Premissas!$B$17*(-Premissas!$B$40-Premissas!$B$29+Premissas!$B$47*Unitário!$B$22)</f>
        <v>-0</v>
      </c>
      <c r="L79" s="12" t="n">
        <f aca="false">-Premissas!$B$30*(IF($A79-(Premissas!$B$42+Premissas!$B$43)&gt;=1,INDEX($D$5:$D$94,$A79-(Premissas!$B$42+Premissas!$B$43)),0)*Unitário!$B$21*Premissas!$B$39+IF($A79-(Premissas!$B$44)&gt;=1,INDEX($E$5:$E$94,$A79-(Premissas!$B$44)),0)*(1-Premissas!$B$17)*Premissas!$B$40)</f>
        <v>-0</v>
      </c>
      <c r="M79" s="12" t="n">
        <f aca="false">-Premissas!$B$31</f>
        <v>-0</v>
      </c>
      <c r="N79" s="12" t="n">
        <f aca="false">B79+C79+F79+G79+H79+I79+J79+K79+L79+M79</f>
        <v>0</v>
      </c>
      <c r="O79" s="12" t="n">
        <f aca="false">O78+N79</f>
        <v>19118.703504</v>
      </c>
      <c r="P79" s="15" t="n">
        <f aca="false">IF(AND($A79&gt;$B$100,O79&gt;=0),1,0)</f>
        <v>1</v>
      </c>
    </row>
    <row r="80" customFormat="false" ht="15" hidden="false" customHeight="false" outlineLevel="0" collapsed="false">
      <c r="A80" s="15" t="n">
        <v>76</v>
      </c>
      <c r="B80" s="12" t="n">
        <f aca="false">IF($A80&lt;=Premissas!$B$7,-Premissas!$B$6,0)</f>
        <v>0</v>
      </c>
      <c r="C80" s="12" t="n">
        <f aca="false">-(IF($A80&lt;=Premissas!$B$7,Unitário!$B$26*Premissas!$B$10,0)+(D80+E80)*Premissas!$B$11)</f>
        <v>-0</v>
      </c>
      <c r="D80" s="27" t="n">
        <f aca="false">IF($A80&lt;=Premissas!$B$7,Unitário!$B$27*Premissas!$B$13,0)</f>
        <v>0</v>
      </c>
      <c r="E80" s="27" t="n">
        <f aca="false">IF($A80&lt;=Premissas!$B$7,Unitário!$B$27*Premissas!$B$14,0)</f>
        <v>0</v>
      </c>
      <c r="F80" s="12" t="n">
        <f aca="false">-Premissas!$B$47*Unitário!$B$22*D80</f>
        <v>-0</v>
      </c>
      <c r="G80" s="12" t="n">
        <f aca="false">IF($A80-(Premissas!$B$42)&gt;=1,INDEX($D$5:$D$94,$A80-(Premissas!$B$42)),0)*(Premissas!$B$47*Unitário!$B$22*(Premissas!$B$16+Premissas!$B$17)-Premissas!$B$48*Unitário!$B$24)</f>
        <v>-0</v>
      </c>
      <c r="H80" s="12" t="n">
        <f aca="false">IF($A80-(Premissas!$B$42+Premissas!$B$43)&gt;=1,INDEX($D$5:$D$94,$A80-(Premissas!$B$42+Premissas!$B$43)),0)*(Unitário!$B$21*Premissas!$B$39-(1-Premissas!$B$48)*Unitário!$B$24-(1-Premissas!$B$47)*Unitário!$B$21*Unitário!$B$22)</f>
        <v>0</v>
      </c>
      <c r="I80" s="12" t="n">
        <f aca="false">IF($A80-(Premissas!$B$44)&gt;=1,INDEX($E$5:$E$94,$A80-(Premissas!$B$44)),0)*(Premissas!$B$40-Unitário!$B$25)</f>
        <v>0</v>
      </c>
      <c r="J80" s="12" t="n">
        <f aca="false">E80*(-Premissas!$B$47*Unitário!$B$22-(1-Premissas!$B$17)*Premissas!$B$21)</f>
        <v>-0</v>
      </c>
      <c r="K80" s="12" t="n">
        <f aca="false">IF($A80-(Premissas!$B$45)&gt;=1,INDEX($E$5:$E$94,$A80-(Premissas!$B$45)),0)*Premissas!$B$17*(-Premissas!$B$40-Premissas!$B$29+Premissas!$B$47*Unitário!$B$22)</f>
        <v>-0</v>
      </c>
      <c r="L80" s="12" t="n">
        <f aca="false">-Premissas!$B$30*(IF($A80-(Premissas!$B$42+Premissas!$B$43)&gt;=1,INDEX($D$5:$D$94,$A80-(Premissas!$B$42+Premissas!$B$43)),0)*Unitário!$B$21*Premissas!$B$39+IF($A80-(Premissas!$B$44)&gt;=1,INDEX($E$5:$E$94,$A80-(Premissas!$B$44)),0)*(1-Premissas!$B$17)*Premissas!$B$40)</f>
        <v>-0</v>
      </c>
      <c r="M80" s="12" t="n">
        <f aca="false">-Premissas!$B$31</f>
        <v>-0</v>
      </c>
      <c r="N80" s="12" t="n">
        <f aca="false">B80+C80+F80+G80+H80+I80+J80+K80+L80+M80</f>
        <v>0</v>
      </c>
      <c r="O80" s="12" t="n">
        <f aca="false">O79+N80</f>
        <v>19118.703504</v>
      </c>
      <c r="P80" s="15" t="n">
        <f aca="false">IF(AND($A80&gt;$B$100,O80&gt;=0),1,0)</f>
        <v>1</v>
      </c>
    </row>
    <row r="81" customFormat="false" ht="15" hidden="false" customHeight="false" outlineLevel="0" collapsed="false">
      <c r="A81" s="15" t="n">
        <v>77</v>
      </c>
      <c r="B81" s="12" t="n">
        <f aca="false">IF($A81&lt;=Premissas!$B$7,-Premissas!$B$6,0)</f>
        <v>0</v>
      </c>
      <c r="C81" s="12" t="n">
        <f aca="false">-(IF($A81&lt;=Premissas!$B$7,Unitário!$B$26*Premissas!$B$10,0)+(D81+E81)*Premissas!$B$11)</f>
        <v>-0</v>
      </c>
      <c r="D81" s="27" t="n">
        <f aca="false">IF($A81&lt;=Premissas!$B$7,Unitário!$B$27*Premissas!$B$13,0)</f>
        <v>0</v>
      </c>
      <c r="E81" s="27" t="n">
        <f aca="false">IF($A81&lt;=Premissas!$B$7,Unitário!$B$27*Premissas!$B$14,0)</f>
        <v>0</v>
      </c>
      <c r="F81" s="12" t="n">
        <f aca="false">-Premissas!$B$47*Unitário!$B$22*D81</f>
        <v>-0</v>
      </c>
      <c r="G81" s="12" t="n">
        <f aca="false">IF($A81-(Premissas!$B$42)&gt;=1,INDEX($D$5:$D$94,$A81-(Premissas!$B$42)),0)*(Premissas!$B$47*Unitário!$B$22*(Premissas!$B$16+Premissas!$B$17)-Premissas!$B$48*Unitário!$B$24)</f>
        <v>-0</v>
      </c>
      <c r="H81" s="12" t="n">
        <f aca="false">IF($A81-(Premissas!$B$42+Premissas!$B$43)&gt;=1,INDEX($D$5:$D$94,$A81-(Premissas!$B$42+Premissas!$B$43)),0)*(Unitário!$B$21*Premissas!$B$39-(1-Premissas!$B$48)*Unitário!$B$24-(1-Premissas!$B$47)*Unitário!$B$21*Unitário!$B$22)</f>
        <v>0</v>
      </c>
      <c r="I81" s="12" t="n">
        <f aca="false">IF($A81-(Premissas!$B$44)&gt;=1,INDEX($E$5:$E$94,$A81-(Premissas!$B$44)),0)*(Premissas!$B$40-Unitário!$B$25)</f>
        <v>0</v>
      </c>
      <c r="J81" s="12" t="n">
        <f aca="false">E81*(-Premissas!$B$47*Unitário!$B$22-(1-Premissas!$B$17)*Premissas!$B$21)</f>
        <v>-0</v>
      </c>
      <c r="K81" s="12" t="n">
        <f aca="false">IF($A81-(Premissas!$B$45)&gt;=1,INDEX($E$5:$E$94,$A81-(Premissas!$B$45)),0)*Premissas!$B$17*(-Premissas!$B$40-Premissas!$B$29+Premissas!$B$47*Unitário!$B$22)</f>
        <v>-0</v>
      </c>
      <c r="L81" s="12" t="n">
        <f aca="false">-Premissas!$B$30*(IF($A81-(Premissas!$B$42+Premissas!$B$43)&gt;=1,INDEX($D$5:$D$94,$A81-(Premissas!$B$42+Premissas!$B$43)),0)*Unitário!$B$21*Premissas!$B$39+IF($A81-(Premissas!$B$44)&gt;=1,INDEX($E$5:$E$94,$A81-(Premissas!$B$44)),0)*(1-Premissas!$B$17)*Premissas!$B$40)</f>
        <v>-0</v>
      </c>
      <c r="M81" s="12" t="n">
        <f aca="false">-Premissas!$B$31</f>
        <v>-0</v>
      </c>
      <c r="N81" s="12" t="n">
        <f aca="false">B81+C81+F81+G81+H81+I81+J81+K81+L81+M81</f>
        <v>0</v>
      </c>
      <c r="O81" s="12" t="n">
        <f aca="false">O80+N81</f>
        <v>19118.703504</v>
      </c>
      <c r="P81" s="15" t="n">
        <f aca="false">IF(AND($A81&gt;$B$100,O81&gt;=0),1,0)</f>
        <v>1</v>
      </c>
    </row>
    <row r="82" customFormat="false" ht="15" hidden="false" customHeight="false" outlineLevel="0" collapsed="false">
      <c r="A82" s="15" t="n">
        <v>78</v>
      </c>
      <c r="B82" s="12" t="n">
        <f aca="false">IF($A82&lt;=Premissas!$B$7,-Premissas!$B$6,0)</f>
        <v>0</v>
      </c>
      <c r="C82" s="12" t="n">
        <f aca="false">-(IF($A82&lt;=Premissas!$B$7,Unitário!$B$26*Premissas!$B$10,0)+(D82+E82)*Premissas!$B$11)</f>
        <v>-0</v>
      </c>
      <c r="D82" s="27" t="n">
        <f aca="false">IF($A82&lt;=Premissas!$B$7,Unitário!$B$27*Premissas!$B$13,0)</f>
        <v>0</v>
      </c>
      <c r="E82" s="27" t="n">
        <f aca="false">IF($A82&lt;=Premissas!$B$7,Unitário!$B$27*Premissas!$B$14,0)</f>
        <v>0</v>
      </c>
      <c r="F82" s="12" t="n">
        <f aca="false">-Premissas!$B$47*Unitário!$B$22*D82</f>
        <v>-0</v>
      </c>
      <c r="G82" s="12" t="n">
        <f aca="false">IF($A82-(Premissas!$B$42)&gt;=1,INDEX($D$5:$D$94,$A82-(Premissas!$B$42)),0)*(Premissas!$B$47*Unitário!$B$22*(Premissas!$B$16+Premissas!$B$17)-Premissas!$B$48*Unitário!$B$24)</f>
        <v>-0</v>
      </c>
      <c r="H82" s="12" t="n">
        <f aca="false">IF($A82-(Premissas!$B$42+Premissas!$B$43)&gt;=1,INDEX($D$5:$D$94,$A82-(Premissas!$B$42+Premissas!$B$43)),0)*(Unitário!$B$21*Premissas!$B$39-(1-Premissas!$B$48)*Unitário!$B$24-(1-Premissas!$B$47)*Unitário!$B$21*Unitário!$B$22)</f>
        <v>0</v>
      </c>
      <c r="I82" s="12" t="n">
        <f aca="false">IF($A82-(Premissas!$B$44)&gt;=1,INDEX($E$5:$E$94,$A82-(Premissas!$B$44)),0)*(Premissas!$B$40-Unitário!$B$25)</f>
        <v>0</v>
      </c>
      <c r="J82" s="12" t="n">
        <f aca="false">E82*(-Premissas!$B$47*Unitário!$B$22-(1-Premissas!$B$17)*Premissas!$B$21)</f>
        <v>-0</v>
      </c>
      <c r="K82" s="12" t="n">
        <f aca="false">IF($A82-(Premissas!$B$45)&gt;=1,INDEX($E$5:$E$94,$A82-(Premissas!$B$45)),0)*Premissas!$B$17*(-Premissas!$B$40-Premissas!$B$29+Premissas!$B$47*Unitário!$B$22)</f>
        <v>-0</v>
      </c>
      <c r="L82" s="12" t="n">
        <f aca="false">-Premissas!$B$30*(IF($A82-(Premissas!$B$42+Premissas!$B$43)&gt;=1,INDEX($D$5:$D$94,$A82-(Premissas!$B$42+Premissas!$B$43)),0)*Unitário!$B$21*Premissas!$B$39+IF($A82-(Premissas!$B$44)&gt;=1,INDEX($E$5:$E$94,$A82-(Premissas!$B$44)),0)*(1-Premissas!$B$17)*Premissas!$B$40)</f>
        <v>-0</v>
      </c>
      <c r="M82" s="12" t="n">
        <f aca="false">-Premissas!$B$31</f>
        <v>-0</v>
      </c>
      <c r="N82" s="12" t="n">
        <f aca="false">B82+C82+F82+G82+H82+I82+J82+K82+L82+M82</f>
        <v>0</v>
      </c>
      <c r="O82" s="12" t="n">
        <f aca="false">O81+N82</f>
        <v>19118.703504</v>
      </c>
      <c r="P82" s="15" t="n">
        <f aca="false">IF(AND($A82&gt;$B$100,O82&gt;=0),1,0)</f>
        <v>1</v>
      </c>
    </row>
    <row r="83" customFormat="false" ht="15" hidden="false" customHeight="false" outlineLevel="0" collapsed="false">
      <c r="A83" s="15" t="n">
        <v>79</v>
      </c>
      <c r="B83" s="12" t="n">
        <f aca="false">IF($A83&lt;=Premissas!$B$7,-Premissas!$B$6,0)</f>
        <v>0</v>
      </c>
      <c r="C83" s="12" t="n">
        <f aca="false">-(IF($A83&lt;=Premissas!$B$7,Unitário!$B$26*Premissas!$B$10,0)+(D83+E83)*Premissas!$B$11)</f>
        <v>-0</v>
      </c>
      <c r="D83" s="27" t="n">
        <f aca="false">IF($A83&lt;=Premissas!$B$7,Unitário!$B$27*Premissas!$B$13,0)</f>
        <v>0</v>
      </c>
      <c r="E83" s="27" t="n">
        <f aca="false">IF($A83&lt;=Premissas!$B$7,Unitário!$B$27*Premissas!$B$14,0)</f>
        <v>0</v>
      </c>
      <c r="F83" s="12" t="n">
        <f aca="false">-Premissas!$B$47*Unitário!$B$22*D83</f>
        <v>-0</v>
      </c>
      <c r="G83" s="12" t="n">
        <f aca="false">IF($A83-(Premissas!$B$42)&gt;=1,INDEX($D$5:$D$94,$A83-(Premissas!$B$42)),0)*(Premissas!$B$47*Unitário!$B$22*(Premissas!$B$16+Premissas!$B$17)-Premissas!$B$48*Unitário!$B$24)</f>
        <v>-0</v>
      </c>
      <c r="H83" s="12" t="n">
        <f aca="false">IF($A83-(Premissas!$B$42+Premissas!$B$43)&gt;=1,INDEX($D$5:$D$94,$A83-(Premissas!$B$42+Premissas!$B$43)),0)*(Unitário!$B$21*Premissas!$B$39-(1-Premissas!$B$48)*Unitário!$B$24-(1-Premissas!$B$47)*Unitário!$B$21*Unitário!$B$22)</f>
        <v>0</v>
      </c>
      <c r="I83" s="12" t="n">
        <f aca="false">IF($A83-(Premissas!$B$44)&gt;=1,INDEX($E$5:$E$94,$A83-(Premissas!$B$44)),0)*(Premissas!$B$40-Unitário!$B$25)</f>
        <v>0</v>
      </c>
      <c r="J83" s="12" t="n">
        <f aca="false">E83*(-Premissas!$B$47*Unitário!$B$22-(1-Premissas!$B$17)*Premissas!$B$21)</f>
        <v>-0</v>
      </c>
      <c r="K83" s="12" t="n">
        <f aca="false">IF($A83-(Premissas!$B$45)&gt;=1,INDEX($E$5:$E$94,$A83-(Premissas!$B$45)),0)*Premissas!$B$17*(-Premissas!$B$40-Premissas!$B$29+Premissas!$B$47*Unitário!$B$22)</f>
        <v>-0</v>
      </c>
      <c r="L83" s="12" t="n">
        <f aca="false">-Premissas!$B$30*(IF($A83-(Premissas!$B$42+Premissas!$B$43)&gt;=1,INDEX($D$5:$D$94,$A83-(Premissas!$B$42+Premissas!$B$43)),0)*Unitário!$B$21*Premissas!$B$39+IF($A83-(Premissas!$B$44)&gt;=1,INDEX($E$5:$E$94,$A83-(Premissas!$B$44)),0)*(1-Premissas!$B$17)*Premissas!$B$40)</f>
        <v>-0</v>
      </c>
      <c r="M83" s="12" t="n">
        <f aca="false">-Premissas!$B$31</f>
        <v>-0</v>
      </c>
      <c r="N83" s="12" t="n">
        <f aca="false">B83+C83+F83+G83+H83+I83+J83+K83+L83+M83</f>
        <v>0</v>
      </c>
      <c r="O83" s="12" t="n">
        <f aca="false">O82+N83</f>
        <v>19118.703504</v>
      </c>
      <c r="P83" s="15" t="n">
        <f aca="false">IF(AND($A83&gt;$B$100,O83&gt;=0),1,0)</f>
        <v>1</v>
      </c>
    </row>
    <row r="84" customFormat="false" ht="15" hidden="false" customHeight="false" outlineLevel="0" collapsed="false">
      <c r="A84" s="15" t="n">
        <v>80</v>
      </c>
      <c r="B84" s="12" t="n">
        <f aca="false">IF($A84&lt;=Premissas!$B$7,-Premissas!$B$6,0)</f>
        <v>0</v>
      </c>
      <c r="C84" s="12" t="n">
        <f aca="false">-(IF($A84&lt;=Premissas!$B$7,Unitário!$B$26*Premissas!$B$10,0)+(D84+E84)*Premissas!$B$11)</f>
        <v>-0</v>
      </c>
      <c r="D84" s="27" t="n">
        <f aca="false">IF($A84&lt;=Premissas!$B$7,Unitário!$B$27*Premissas!$B$13,0)</f>
        <v>0</v>
      </c>
      <c r="E84" s="27" t="n">
        <f aca="false">IF($A84&lt;=Premissas!$B$7,Unitário!$B$27*Premissas!$B$14,0)</f>
        <v>0</v>
      </c>
      <c r="F84" s="12" t="n">
        <f aca="false">-Premissas!$B$47*Unitário!$B$22*D84</f>
        <v>-0</v>
      </c>
      <c r="G84" s="12" t="n">
        <f aca="false">IF($A84-(Premissas!$B$42)&gt;=1,INDEX($D$5:$D$94,$A84-(Premissas!$B$42)),0)*(Premissas!$B$47*Unitário!$B$22*(Premissas!$B$16+Premissas!$B$17)-Premissas!$B$48*Unitário!$B$24)</f>
        <v>-0</v>
      </c>
      <c r="H84" s="12" t="n">
        <f aca="false">IF($A84-(Premissas!$B$42+Premissas!$B$43)&gt;=1,INDEX($D$5:$D$94,$A84-(Premissas!$B$42+Premissas!$B$43)),0)*(Unitário!$B$21*Premissas!$B$39-(1-Premissas!$B$48)*Unitário!$B$24-(1-Premissas!$B$47)*Unitário!$B$21*Unitário!$B$22)</f>
        <v>0</v>
      </c>
      <c r="I84" s="12" t="n">
        <f aca="false">IF($A84-(Premissas!$B$44)&gt;=1,INDEX($E$5:$E$94,$A84-(Premissas!$B$44)),0)*(Premissas!$B$40-Unitário!$B$25)</f>
        <v>0</v>
      </c>
      <c r="J84" s="12" t="n">
        <f aca="false">E84*(-Premissas!$B$47*Unitário!$B$22-(1-Premissas!$B$17)*Premissas!$B$21)</f>
        <v>-0</v>
      </c>
      <c r="K84" s="12" t="n">
        <f aca="false">IF($A84-(Premissas!$B$45)&gt;=1,INDEX($E$5:$E$94,$A84-(Premissas!$B$45)),0)*Premissas!$B$17*(-Premissas!$B$40-Premissas!$B$29+Premissas!$B$47*Unitário!$B$22)</f>
        <v>-0</v>
      </c>
      <c r="L84" s="12" t="n">
        <f aca="false">-Premissas!$B$30*(IF($A84-(Premissas!$B$42+Premissas!$B$43)&gt;=1,INDEX($D$5:$D$94,$A84-(Premissas!$B$42+Premissas!$B$43)),0)*Unitário!$B$21*Premissas!$B$39+IF($A84-(Premissas!$B$44)&gt;=1,INDEX($E$5:$E$94,$A84-(Premissas!$B$44)),0)*(1-Premissas!$B$17)*Premissas!$B$40)</f>
        <v>-0</v>
      </c>
      <c r="M84" s="12" t="n">
        <f aca="false">-Premissas!$B$31</f>
        <v>-0</v>
      </c>
      <c r="N84" s="12" t="n">
        <f aca="false">B84+C84+F84+G84+H84+I84+J84+K84+L84+M84</f>
        <v>0</v>
      </c>
      <c r="O84" s="12" t="n">
        <f aca="false">O83+N84</f>
        <v>19118.703504</v>
      </c>
      <c r="P84" s="15" t="n">
        <f aca="false">IF(AND($A84&gt;$B$100,O84&gt;=0),1,0)</f>
        <v>1</v>
      </c>
    </row>
    <row r="85" customFormat="false" ht="15" hidden="false" customHeight="false" outlineLevel="0" collapsed="false">
      <c r="A85" s="15" t="n">
        <v>81</v>
      </c>
      <c r="B85" s="12" t="n">
        <f aca="false">IF($A85&lt;=Premissas!$B$7,-Premissas!$B$6,0)</f>
        <v>0</v>
      </c>
      <c r="C85" s="12" t="n">
        <f aca="false">-(IF($A85&lt;=Premissas!$B$7,Unitário!$B$26*Premissas!$B$10,0)+(D85+E85)*Premissas!$B$11)</f>
        <v>-0</v>
      </c>
      <c r="D85" s="27" t="n">
        <f aca="false">IF($A85&lt;=Premissas!$B$7,Unitário!$B$27*Premissas!$B$13,0)</f>
        <v>0</v>
      </c>
      <c r="E85" s="27" t="n">
        <f aca="false">IF($A85&lt;=Premissas!$B$7,Unitário!$B$27*Premissas!$B$14,0)</f>
        <v>0</v>
      </c>
      <c r="F85" s="12" t="n">
        <f aca="false">-Premissas!$B$47*Unitário!$B$22*D85</f>
        <v>-0</v>
      </c>
      <c r="G85" s="12" t="n">
        <f aca="false">IF($A85-(Premissas!$B$42)&gt;=1,INDEX($D$5:$D$94,$A85-(Premissas!$B$42)),0)*(Premissas!$B$47*Unitário!$B$22*(Premissas!$B$16+Premissas!$B$17)-Premissas!$B$48*Unitário!$B$24)</f>
        <v>-0</v>
      </c>
      <c r="H85" s="12" t="n">
        <f aca="false">IF($A85-(Premissas!$B$42+Premissas!$B$43)&gt;=1,INDEX($D$5:$D$94,$A85-(Premissas!$B$42+Premissas!$B$43)),0)*(Unitário!$B$21*Premissas!$B$39-(1-Premissas!$B$48)*Unitário!$B$24-(1-Premissas!$B$47)*Unitário!$B$21*Unitário!$B$22)</f>
        <v>0</v>
      </c>
      <c r="I85" s="12" t="n">
        <f aca="false">IF($A85-(Premissas!$B$44)&gt;=1,INDEX($E$5:$E$94,$A85-(Premissas!$B$44)),0)*(Premissas!$B$40-Unitário!$B$25)</f>
        <v>0</v>
      </c>
      <c r="J85" s="12" t="n">
        <f aca="false">E85*(-Premissas!$B$47*Unitário!$B$22-(1-Premissas!$B$17)*Premissas!$B$21)</f>
        <v>-0</v>
      </c>
      <c r="K85" s="12" t="n">
        <f aca="false">IF($A85-(Premissas!$B$45)&gt;=1,INDEX($E$5:$E$94,$A85-(Premissas!$B$45)),0)*Premissas!$B$17*(-Premissas!$B$40-Premissas!$B$29+Premissas!$B$47*Unitário!$B$22)</f>
        <v>-0</v>
      </c>
      <c r="L85" s="12" t="n">
        <f aca="false">-Premissas!$B$30*(IF($A85-(Premissas!$B$42+Premissas!$B$43)&gt;=1,INDEX($D$5:$D$94,$A85-(Premissas!$B$42+Premissas!$B$43)),0)*Unitário!$B$21*Premissas!$B$39+IF($A85-(Premissas!$B$44)&gt;=1,INDEX($E$5:$E$94,$A85-(Premissas!$B$44)),0)*(1-Premissas!$B$17)*Premissas!$B$40)</f>
        <v>-0</v>
      </c>
      <c r="M85" s="12" t="n">
        <f aca="false">-Premissas!$B$31</f>
        <v>-0</v>
      </c>
      <c r="N85" s="12" t="n">
        <f aca="false">B85+C85+F85+G85+H85+I85+J85+K85+L85+M85</f>
        <v>0</v>
      </c>
      <c r="O85" s="12" t="n">
        <f aca="false">O84+N85</f>
        <v>19118.703504</v>
      </c>
      <c r="P85" s="15" t="n">
        <f aca="false">IF(AND($A85&gt;$B$100,O85&gt;=0),1,0)</f>
        <v>1</v>
      </c>
    </row>
    <row r="86" customFormat="false" ht="15" hidden="false" customHeight="false" outlineLevel="0" collapsed="false">
      <c r="A86" s="15" t="n">
        <v>82</v>
      </c>
      <c r="B86" s="12" t="n">
        <f aca="false">IF($A86&lt;=Premissas!$B$7,-Premissas!$B$6,0)</f>
        <v>0</v>
      </c>
      <c r="C86" s="12" t="n">
        <f aca="false">-(IF($A86&lt;=Premissas!$B$7,Unitário!$B$26*Premissas!$B$10,0)+(D86+E86)*Premissas!$B$11)</f>
        <v>-0</v>
      </c>
      <c r="D86" s="27" t="n">
        <f aca="false">IF($A86&lt;=Premissas!$B$7,Unitário!$B$27*Premissas!$B$13,0)</f>
        <v>0</v>
      </c>
      <c r="E86" s="27" t="n">
        <f aca="false">IF($A86&lt;=Premissas!$B$7,Unitário!$B$27*Premissas!$B$14,0)</f>
        <v>0</v>
      </c>
      <c r="F86" s="12" t="n">
        <f aca="false">-Premissas!$B$47*Unitário!$B$22*D86</f>
        <v>-0</v>
      </c>
      <c r="G86" s="12" t="n">
        <f aca="false">IF($A86-(Premissas!$B$42)&gt;=1,INDEX($D$5:$D$94,$A86-(Premissas!$B$42)),0)*(Premissas!$B$47*Unitário!$B$22*(Premissas!$B$16+Premissas!$B$17)-Premissas!$B$48*Unitário!$B$24)</f>
        <v>-0</v>
      </c>
      <c r="H86" s="12" t="n">
        <f aca="false">IF($A86-(Premissas!$B$42+Premissas!$B$43)&gt;=1,INDEX($D$5:$D$94,$A86-(Premissas!$B$42+Premissas!$B$43)),0)*(Unitário!$B$21*Premissas!$B$39-(1-Premissas!$B$48)*Unitário!$B$24-(1-Premissas!$B$47)*Unitário!$B$21*Unitário!$B$22)</f>
        <v>0</v>
      </c>
      <c r="I86" s="12" t="n">
        <f aca="false">IF($A86-(Premissas!$B$44)&gt;=1,INDEX($E$5:$E$94,$A86-(Premissas!$B$44)),0)*(Premissas!$B$40-Unitário!$B$25)</f>
        <v>0</v>
      </c>
      <c r="J86" s="12" t="n">
        <f aca="false">E86*(-Premissas!$B$47*Unitário!$B$22-(1-Premissas!$B$17)*Premissas!$B$21)</f>
        <v>-0</v>
      </c>
      <c r="K86" s="12" t="n">
        <f aca="false">IF($A86-(Premissas!$B$45)&gt;=1,INDEX($E$5:$E$94,$A86-(Premissas!$B$45)),0)*Premissas!$B$17*(-Premissas!$B$40-Premissas!$B$29+Premissas!$B$47*Unitário!$B$22)</f>
        <v>-0</v>
      </c>
      <c r="L86" s="12" t="n">
        <f aca="false">-Premissas!$B$30*(IF($A86-(Premissas!$B$42+Premissas!$B$43)&gt;=1,INDEX($D$5:$D$94,$A86-(Premissas!$B$42+Premissas!$B$43)),0)*Unitário!$B$21*Premissas!$B$39+IF($A86-(Premissas!$B$44)&gt;=1,INDEX($E$5:$E$94,$A86-(Premissas!$B$44)),0)*(1-Premissas!$B$17)*Premissas!$B$40)</f>
        <v>-0</v>
      </c>
      <c r="M86" s="12" t="n">
        <f aca="false">-Premissas!$B$31</f>
        <v>-0</v>
      </c>
      <c r="N86" s="12" t="n">
        <f aca="false">B86+C86+F86+G86+H86+I86+J86+K86+L86+M86</f>
        <v>0</v>
      </c>
      <c r="O86" s="12" t="n">
        <f aca="false">O85+N86</f>
        <v>19118.703504</v>
      </c>
      <c r="P86" s="15" t="n">
        <f aca="false">IF(AND($A86&gt;$B$100,O86&gt;=0),1,0)</f>
        <v>1</v>
      </c>
    </row>
    <row r="87" customFormat="false" ht="15" hidden="false" customHeight="false" outlineLevel="0" collapsed="false">
      <c r="A87" s="15" t="n">
        <v>83</v>
      </c>
      <c r="B87" s="12" t="n">
        <f aca="false">IF($A87&lt;=Premissas!$B$7,-Premissas!$B$6,0)</f>
        <v>0</v>
      </c>
      <c r="C87" s="12" t="n">
        <f aca="false">-(IF($A87&lt;=Premissas!$B$7,Unitário!$B$26*Premissas!$B$10,0)+(D87+E87)*Premissas!$B$11)</f>
        <v>-0</v>
      </c>
      <c r="D87" s="27" t="n">
        <f aca="false">IF($A87&lt;=Premissas!$B$7,Unitário!$B$27*Premissas!$B$13,0)</f>
        <v>0</v>
      </c>
      <c r="E87" s="27" t="n">
        <f aca="false">IF($A87&lt;=Premissas!$B$7,Unitário!$B$27*Premissas!$B$14,0)</f>
        <v>0</v>
      </c>
      <c r="F87" s="12" t="n">
        <f aca="false">-Premissas!$B$47*Unitário!$B$22*D87</f>
        <v>-0</v>
      </c>
      <c r="G87" s="12" t="n">
        <f aca="false">IF($A87-(Premissas!$B$42)&gt;=1,INDEX($D$5:$D$94,$A87-(Premissas!$B$42)),0)*(Premissas!$B$47*Unitário!$B$22*(Premissas!$B$16+Premissas!$B$17)-Premissas!$B$48*Unitário!$B$24)</f>
        <v>-0</v>
      </c>
      <c r="H87" s="12" t="n">
        <f aca="false">IF($A87-(Premissas!$B$42+Premissas!$B$43)&gt;=1,INDEX($D$5:$D$94,$A87-(Premissas!$B$42+Premissas!$B$43)),0)*(Unitário!$B$21*Premissas!$B$39-(1-Premissas!$B$48)*Unitário!$B$24-(1-Premissas!$B$47)*Unitário!$B$21*Unitário!$B$22)</f>
        <v>0</v>
      </c>
      <c r="I87" s="12" t="n">
        <f aca="false">IF($A87-(Premissas!$B$44)&gt;=1,INDEX($E$5:$E$94,$A87-(Premissas!$B$44)),0)*(Premissas!$B$40-Unitário!$B$25)</f>
        <v>0</v>
      </c>
      <c r="J87" s="12" t="n">
        <f aca="false">E87*(-Premissas!$B$47*Unitário!$B$22-(1-Premissas!$B$17)*Premissas!$B$21)</f>
        <v>-0</v>
      </c>
      <c r="K87" s="12" t="n">
        <f aca="false">IF($A87-(Premissas!$B$45)&gt;=1,INDEX($E$5:$E$94,$A87-(Premissas!$B$45)),0)*Premissas!$B$17*(-Premissas!$B$40-Premissas!$B$29+Premissas!$B$47*Unitário!$B$22)</f>
        <v>-0</v>
      </c>
      <c r="L87" s="12" t="n">
        <f aca="false">-Premissas!$B$30*(IF($A87-(Premissas!$B$42+Premissas!$B$43)&gt;=1,INDEX($D$5:$D$94,$A87-(Premissas!$B$42+Premissas!$B$43)),0)*Unitário!$B$21*Premissas!$B$39+IF($A87-(Premissas!$B$44)&gt;=1,INDEX($E$5:$E$94,$A87-(Premissas!$B$44)),0)*(1-Premissas!$B$17)*Premissas!$B$40)</f>
        <v>-0</v>
      </c>
      <c r="M87" s="12" t="n">
        <f aca="false">-Premissas!$B$31</f>
        <v>-0</v>
      </c>
      <c r="N87" s="12" t="n">
        <f aca="false">B87+C87+F87+G87+H87+I87+J87+K87+L87+M87</f>
        <v>0</v>
      </c>
      <c r="O87" s="12" t="n">
        <f aca="false">O86+N87</f>
        <v>19118.703504</v>
      </c>
      <c r="P87" s="15" t="n">
        <f aca="false">IF(AND($A87&gt;$B$100,O87&gt;=0),1,0)</f>
        <v>1</v>
      </c>
    </row>
    <row r="88" customFormat="false" ht="15" hidden="false" customHeight="false" outlineLevel="0" collapsed="false">
      <c r="A88" s="15" t="n">
        <v>84</v>
      </c>
      <c r="B88" s="12" t="n">
        <f aca="false">IF($A88&lt;=Premissas!$B$7,-Premissas!$B$6,0)</f>
        <v>0</v>
      </c>
      <c r="C88" s="12" t="n">
        <f aca="false">-(IF($A88&lt;=Premissas!$B$7,Unitário!$B$26*Premissas!$B$10,0)+(D88+E88)*Premissas!$B$11)</f>
        <v>-0</v>
      </c>
      <c r="D88" s="27" t="n">
        <f aca="false">IF($A88&lt;=Premissas!$B$7,Unitário!$B$27*Premissas!$B$13,0)</f>
        <v>0</v>
      </c>
      <c r="E88" s="27" t="n">
        <f aca="false">IF($A88&lt;=Premissas!$B$7,Unitário!$B$27*Premissas!$B$14,0)</f>
        <v>0</v>
      </c>
      <c r="F88" s="12" t="n">
        <f aca="false">-Premissas!$B$47*Unitário!$B$22*D88</f>
        <v>-0</v>
      </c>
      <c r="G88" s="12" t="n">
        <f aca="false">IF($A88-(Premissas!$B$42)&gt;=1,INDEX($D$5:$D$94,$A88-(Premissas!$B$42)),0)*(Premissas!$B$47*Unitário!$B$22*(Premissas!$B$16+Premissas!$B$17)-Premissas!$B$48*Unitário!$B$24)</f>
        <v>-0</v>
      </c>
      <c r="H88" s="12" t="n">
        <f aca="false">IF($A88-(Premissas!$B$42+Premissas!$B$43)&gt;=1,INDEX($D$5:$D$94,$A88-(Premissas!$B$42+Premissas!$B$43)),0)*(Unitário!$B$21*Premissas!$B$39-(1-Premissas!$B$48)*Unitário!$B$24-(1-Premissas!$B$47)*Unitário!$B$21*Unitário!$B$22)</f>
        <v>0</v>
      </c>
      <c r="I88" s="12" t="n">
        <f aca="false">IF($A88-(Premissas!$B$44)&gt;=1,INDEX($E$5:$E$94,$A88-(Premissas!$B$44)),0)*(Premissas!$B$40-Unitário!$B$25)</f>
        <v>0</v>
      </c>
      <c r="J88" s="12" t="n">
        <f aca="false">E88*(-Premissas!$B$47*Unitário!$B$22-(1-Premissas!$B$17)*Premissas!$B$21)</f>
        <v>-0</v>
      </c>
      <c r="K88" s="12" t="n">
        <f aca="false">IF($A88-(Premissas!$B$45)&gt;=1,INDEX($E$5:$E$94,$A88-(Premissas!$B$45)),0)*Premissas!$B$17*(-Premissas!$B$40-Premissas!$B$29+Premissas!$B$47*Unitário!$B$22)</f>
        <v>-0</v>
      </c>
      <c r="L88" s="12" t="n">
        <f aca="false">-Premissas!$B$30*(IF($A88-(Premissas!$B$42+Premissas!$B$43)&gt;=1,INDEX($D$5:$D$94,$A88-(Premissas!$B$42+Premissas!$B$43)),0)*Unitário!$B$21*Premissas!$B$39+IF($A88-(Premissas!$B$44)&gt;=1,INDEX($E$5:$E$94,$A88-(Premissas!$B$44)),0)*(1-Premissas!$B$17)*Premissas!$B$40)</f>
        <v>-0</v>
      </c>
      <c r="M88" s="12" t="n">
        <f aca="false">-Premissas!$B$31</f>
        <v>-0</v>
      </c>
      <c r="N88" s="12" t="n">
        <f aca="false">B88+C88+F88+G88+H88+I88+J88+K88+L88+M88</f>
        <v>0</v>
      </c>
      <c r="O88" s="12" t="n">
        <f aca="false">O87+N88</f>
        <v>19118.703504</v>
      </c>
      <c r="P88" s="15" t="n">
        <f aca="false">IF(AND($A88&gt;$B$100,O88&gt;=0),1,0)</f>
        <v>1</v>
      </c>
    </row>
    <row r="89" customFormat="false" ht="15" hidden="false" customHeight="false" outlineLevel="0" collapsed="false">
      <c r="A89" s="15" t="n">
        <v>85</v>
      </c>
      <c r="B89" s="12" t="n">
        <f aca="false">IF($A89&lt;=Premissas!$B$7,-Premissas!$B$6,0)</f>
        <v>0</v>
      </c>
      <c r="C89" s="12" t="n">
        <f aca="false">-(IF($A89&lt;=Premissas!$B$7,Unitário!$B$26*Premissas!$B$10,0)+(D89+E89)*Premissas!$B$11)</f>
        <v>-0</v>
      </c>
      <c r="D89" s="27" t="n">
        <f aca="false">IF($A89&lt;=Premissas!$B$7,Unitário!$B$27*Premissas!$B$13,0)</f>
        <v>0</v>
      </c>
      <c r="E89" s="27" t="n">
        <f aca="false">IF($A89&lt;=Premissas!$B$7,Unitário!$B$27*Premissas!$B$14,0)</f>
        <v>0</v>
      </c>
      <c r="F89" s="12" t="n">
        <f aca="false">-Premissas!$B$47*Unitário!$B$22*D89</f>
        <v>-0</v>
      </c>
      <c r="G89" s="12" t="n">
        <f aca="false">IF($A89-(Premissas!$B$42)&gt;=1,INDEX($D$5:$D$94,$A89-(Premissas!$B$42)),0)*(Premissas!$B$47*Unitário!$B$22*(Premissas!$B$16+Premissas!$B$17)-Premissas!$B$48*Unitário!$B$24)</f>
        <v>-0</v>
      </c>
      <c r="H89" s="12" t="n">
        <f aca="false">IF($A89-(Premissas!$B$42+Premissas!$B$43)&gt;=1,INDEX($D$5:$D$94,$A89-(Premissas!$B$42+Premissas!$B$43)),0)*(Unitário!$B$21*Premissas!$B$39-(1-Premissas!$B$48)*Unitário!$B$24-(1-Premissas!$B$47)*Unitário!$B$21*Unitário!$B$22)</f>
        <v>0</v>
      </c>
      <c r="I89" s="12" t="n">
        <f aca="false">IF($A89-(Premissas!$B$44)&gt;=1,INDEX($E$5:$E$94,$A89-(Premissas!$B$44)),0)*(Premissas!$B$40-Unitário!$B$25)</f>
        <v>0</v>
      </c>
      <c r="J89" s="12" t="n">
        <f aca="false">E89*(-Premissas!$B$47*Unitário!$B$22-(1-Premissas!$B$17)*Premissas!$B$21)</f>
        <v>-0</v>
      </c>
      <c r="K89" s="12" t="n">
        <f aca="false">IF($A89-(Premissas!$B$45)&gt;=1,INDEX($E$5:$E$94,$A89-(Premissas!$B$45)),0)*Premissas!$B$17*(-Premissas!$B$40-Premissas!$B$29+Premissas!$B$47*Unitário!$B$22)</f>
        <v>-0</v>
      </c>
      <c r="L89" s="12" t="n">
        <f aca="false">-Premissas!$B$30*(IF($A89-(Premissas!$B$42+Premissas!$B$43)&gt;=1,INDEX($D$5:$D$94,$A89-(Premissas!$B$42+Premissas!$B$43)),0)*Unitário!$B$21*Premissas!$B$39+IF($A89-(Premissas!$B$44)&gt;=1,INDEX($E$5:$E$94,$A89-(Premissas!$B$44)),0)*(1-Premissas!$B$17)*Premissas!$B$40)</f>
        <v>-0</v>
      </c>
      <c r="M89" s="12" t="n">
        <f aca="false">-Premissas!$B$31</f>
        <v>-0</v>
      </c>
      <c r="N89" s="12" t="n">
        <f aca="false">B89+C89+F89+G89+H89+I89+J89+K89+L89+M89</f>
        <v>0</v>
      </c>
      <c r="O89" s="12" t="n">
        <f aca="false">O88+N89</f>
        <v>19118.703504</v>
      </c>
      <c r="P89" s="15" t="n">
        <f aca="false">IF(AND($A89&gt;$B$100,O89&gt;=0),1,0)</f>
        <v>1</v>
      </c>
    </row>
    <row r="90" customFormat="false" ht="15" hidden="false" customHeight="false" outlineLevel="0" collapsed="false">
      <c r="A90" s="15" t="n">
        <v>86</v>
      </c>
      <c r="B90" s="12" t="n">
        <f aca="false">IF($A90&lt;=Premissas!$B$7,-Premissas!$B$6,0)</f>
        <v>0</v>
      </c>
      <c r="C90" s="12" t="n">
        <f aca="false">-(IF($A90&lt;=Premissas!$B$7,Unitário!$B$26*Premissas!$B$10,0)+(D90+E90)*Premissas!$B$11)</f>
        <v>-0</v>
      </c>
      <c r="D90" s="27" t="n">
        <f aca="false">IF($A90&lt;=Premissas!$B$7,Unitário!$B$27*Premissas!$B$13,0)</f>
        <v>0</v>
      </c>
      <c r="E90" s="27" t="n">
        <f aca="false">IF($A90&lt;=Premissas!$B$7,Unitário!$B$27*Premissas!$B$14,0)</f>
        <v>0</v>
      </c>
      <c r="F90" s="12" t="n">
        <f aca="false">-Premissas!$B$47*Unitário!$B$22*D90</f>
        <v>-0</v>
      </c>
      <c r="G90" s="12" t="n">
        <f aca="false">IF($A90-(Premissas!$B$42)&gt;=1,INDEX($D$5:$D$94,$A90-(Premissas!$B$42)),0)*(Premissas!$B$47*Unitário!$B$22*(Premissas!$B$16+Premissas!$B$17)-Premissas!$B$48*Unitário!$B$24)</f>
        <v>-0</v>
      </c>
      <c r="H90" s="12" t="n">
        <f aca="false">IF($A90-(Premissas!$B$42+Premissas!$B$43)&gt;=1,INDEX($D$5:$D$94,$A90-(Premissas!$B$42+Premissas!$B$43)),0)*(Unitário!$B$21*Premissas!$B$39-(1-Premissas!$B$48)*Unitário!$B$24-(1-Premissas!$B$47)*Unitário!$B$21*Unitário!$B$22)</f>
        <v>0</v>
      </c>
      <c r="I90" s="12" t="n">
        <f aca="false">IF($A90-(Premissas!$B$44)&gt;=1,INDEX($E$5:$E$94,$A90-(Premissas!$B$44)),0)*(Premissas!$B$40-Unitário!$B$25)</f>
        <v>0</v>
      </c>
      <c r="J90" s="12" t="n">
        <f aca="false">E90*(-Premissas!$B$47*Unitário!$B$22-(1-Premissas!$B$17)*Premissas!$B$21)</f>
        <v>-0</v>
      </c>
      <c r="K90" s="12" t="n">
        <f aca="false">IF($A90-(Premissas!$B$45)&gt;=1,INDEX($E$5:$E$94,$A90-(Premissas!$B$45)),0)*Premissas!$B$17*(-Premissas!$B$40-Premissas!$B$29+Premissas!$B$47*Unitário!$B$22)</f>
        <v>-0</v>
      </c>
      <c r="L90" s="12" t="n">
        <f aca="false">-Premissas!$B$30*(IF($A90-(Premissas!$B$42+Premissas!$B$43)&gt;=1,INDEX($D$5:$D$94,$A90-(Premissas!$B$42+Premissas!$B$43)),0)*Unitário!$B$21*Premissas!$B$39+IF($A90-(Premissas!$B$44)&gt;=1,INDEX($E$5:$E$94,$A90-(Premissas!$B$44)),0)*(1-Premissas!$B$17)*Premissas!$B$40)</f>
        <v>-0</v>
      </c>
      <c r="M90" s="12" t="n">
        <f aca="false">-Premissas!$B$31</f>
        <v>-0</v>
      </c>
      <c r="N90" s="12" t="n">
        <f aca="false">B90+C90+F90+G90+H90+I90+J90+K90+L90+M90</f>
        <v>0</v>
      </c>
      <c r="O90" s="12" t="n">
        <f aca="false">O89+N90</f>
        <v>19118.703504</v>
      </c>
      <c r="P90" s="15" t="n">
        <f aca="false">IF(AND($A90&gt;$B$100,O90&gt;=0),1,0)</f>
        <v>1</v>
      </c>
    </row>
    <row r="91" customFormat="false" ht="15" hidden="false" customHeight="false" outlineLevel="0" collapsed="false">
      <c r="A91" s="15" t="n">
        <v>87</v>
      </c>
      <c r="B91" s="12" t="n">
        <f aca="false">IF($A91&lt;=Premissas!$B$7,-Premissas!$B$6,0)</f>
        <v>0</v>
      </c>
      <c r="C91" s="12" t="n">
        <f aca="false">-(IF($A91&lt;=Premissas!$B$7,Unitário!$B$26*Premissas!$B$10,0)+(D91+E91)*Premissas!$B$11)</f>
        <v>-0</v>
      </c>
      <c r="D91" s="27" t="n">
        <f aca="false">IF($A91&lt;=Premissas!$B$7,Unitário!$B$27*Premissas!$B$13,0)</f>
        <v>0</v>
      </c>
      <c r="E91" s="27" t="n">
        <f aca="false">IF($A91&lt;=Premissas!$B$7,Unitário!$B$27*Premissas!$B$14,0)</f>
        <v>0</v>
      </c>
      <c r="F91" s="12" t="n">
        <f aca="false">-Premissas!$B$47*Unitário!$B$22*D91</f>
        <v>-0</v>
      </c>
      <c r="G91" s="12" t="n">
        <f aca="false">IF($A91-(Premissas!$B$42)&gt;=1,INDEX($D$5:$D$94,$A91-(Premissas!$B$42)),0)*(Premissas!$B$47*Unitário!$B$22*(Premissas!$B$16+Premissas!$B$17)-Premissas!$B$48*Unitário!$B$24)</f>
        <v>-0</v>
      </c>
      <c r="H91" s="12" t="n">
        <f aca="false">IF($A91-(Premissas!$B$42+Premissas!$B$43)&gt;=1,INDEX($D$5:$D$94,$A91-(Premissas!$B$42+Premissas!$B$43)),0)*(Unitário!$B$21*Premissas!$B$39-(1-Premissas!$B$48)*Unitário!$B$24-(1-Premissas!$B$47)*Unitário!$B$21*Unitário!$B$22)</f>
        <v>0</v>
      </c>
      <c r="I91" s="12" t="n">
        <f aca="false">IF($A91-(Premissas!$B$44)&gt;=1,INDEX($E$5:$E$94,$A91-(Premissas!$B$44)),0)*(Premissas!$B$40-Unitário!$B$25)</f>
        <v>0</v>
      </c>
      <c r="J91" s="12" t="n">
        <f aca="false">E91*(-Premissas!$B$47*Unitário!$B$22-(1-Premissas!$B$17)*Premissas!$B$21)</f>
        <v>-0</v>
      </c>
      <c r="K91" s="12" t="n">
        <f aca="false">IF($A91-(Premissas!$B$45)&gt;=1,INDEX($E$5:$E$94,$A91-(Premissas!$B$45)),0)*Premissas!$B$17*(-Premissas!$B$40-Premissas!$B$29+Premissas!$B$47*Unitário!$B$22)</f>
        <v>-0</v>
      </c>
      <c r="L91" s="12" t="n">
        <f aca="false">-Premissas!$B$30*(IF($A91-(Premissas!$B$42+Premissas!$B$43)&gt;=1,INDEX($D$5:$D$94,$A91-(Premissas!$B$42+Premissas!$B$43)),0)*Unitário!$B$21*Premissas!$B$39+IF($A91-(Premissas!$B$44)&gt;=1,INDEX($E$5:$E$94,$A91-(Premissas!$B$44)),0)*(1-Premissas!$B$17)*Premissas!$B$40)</f>
        <v>-0</v>
      </c>
      <c r="M91" s="12" t="n">
        <f aca="false">-Premissas!$B$31</f>
        <v>-0</v>
      </c>
      <c r="N91" s="12" t="n">
        <f aca="false">B91+C91+F91+G91+H91+I91+J91+K91+L91+M91</f>
        <v>0</v>
      </c>
      <c r="O91" s="12" t="n">
        <f aca="false">O90+N91</f>
        <v>19118.703504</v>
      </c>
      <c r="P91" s="15" t="n">
        <f aca="false">IF(AND($A91&gt;$B$100,O91&gt;=0),1,0)</f>
        <v>1</v>
      </c>
    </row>
    <row r="92" customFormat="false" ht="15" hidden="false" customHeight="false" outlineLevel="0" collapsed="false">
      <c r="A92" s="15" t="n">
        <v>88</v>
      </c>
      <c r="B92" s="12" t="n">
        <f aca="false">IF($A92&lt;=Premissas!$B$7,-Premissas!$B$6,0)</f>
        <v>0</v>
      </c>
      <c r="C92" s="12" t="n">
        <f aca="false">-(IF($A92&lt;=Premissas!$B$7,Unitário!$B$26*Premissas!$B$10,0)+(D92+E92)*Premissas!$B$11)</f>
        <v>-0</v>
      </c>
      <c r="D92" s="27" t="n">
        <f aca="false">IF($A92&lt;=Premissas!$B$7,Unitário!$B$27*Premissas!$B$13,0)</f>
        <v>0</v>
      </c>
      <c r="E92" s="27" t="n">
        <f aca="false">IF($A92&lt;=Premissas!$B$7,Unitário!$B$27*Premissas!$B$14,0)</f>
        <v>0</v>
      </c>
      <c r="F92" s="12" t="n">
        <f aca="false">-Premissas!$B$47*Unitário!$B$22*D92</f>
        <v>-0</v>
      </c>
      <c r="G92" s="12" t="n">
        <f aca="false">IF($A92-(Premissas!$B$42)&gt;=1,INDEX($D$5:$D$94,$A92-(Premissas!$B$42)),0)*(Premissas!$B$47*Unitário!$B$22*(Premissas!$B$16+Premissas!$B$17)-Premissas!$B$48*Unitário!$B$24)</f>
        <v>-0</v>
      </c>
      <c r="H92" s="12" t="n">
        <f aca="false">IF($A92-(Premissas!$B$42+Premissas!$B$43)&gt;=1,INDEX($D$5:$D$94,$A92-(Premissas!$B$42+Premissas!$B$43)),0)*(Unitário!$B$21*Premissas!$B$39-(1-Premissas!$B$48)*Unitário!$B$24-(1-Premissas!$B$47)*Unitário!$B$21*Unitário!$B$22)</f>
        <v>0</v>
      </c>
      <c r="I92" s="12" t="n">
        <f aca="false">IF($A92-(Premissas!$B$44)&gt;=1,INDEX($E$5:$E$94,$A92-(Premissas!$B$44)),0)*(Premissas!$B$40-Unitário!$B$25)</f>
        <v>0</v>
      </c>
      <c r="J92" s="12" t="n">
        <f aca="false">E92*(-Premissas!$B$47*Unitário!$B$22-(1-Premissas!$B$17)*Premissas!$B$21)</f>
        <v>-0</v>
      </c>
      <c r="K92" s="12" t="n">
        <f aca="false">IF($A92-(Premissas!$B$45)&gt;=1,INDEX($E$5:$E$94,$A92-(Premissas!$B$45)),0)*Premissas!$B$17*(-Premissas!$B$40-Premissas!$B$29+Premissas!$B$47*Unitário!$B$22)</f>
        <v>-0</v>
      </c>
      <c r="L92" s="12" t="n">
        <f aca="false">-Premissas!$B$30*(IF($A92-(Premissas!$B$42+Premissas!$B$43)&gt;=1,INDEX($D$5:$D$94,$A92-(Premissas!$B$42+Premissas!$B$43)),0)*Unitário!$B$21*Premissas!$B$39+IF($A92-(Premissas!$B$44)&gt;=1,INDEX($E$5:$E$94,$A92-(Premissas!$B$44)),0)*(1-Premissas!$B$17)*Premissas!$B$40)</f>
        <v>-0</v>
      </c>
      <c r="M92" s="12" t="n">
        <f aca="false">-Premissas!$B$31</f>
        <v>-0</v>
      </c>
      <c r="N92" s="12" t="n">
        <f aca="false">B92+C92+F92+G92+H92+I92+J92+K92+L92+M92</f>
        <v>0</v>
      </c>
      <c r="O92" s="12" t="n">
        <f aca="false">O91+N92</f>
        <v>19118.703504</v>
      </c>
      <c r="P92" s="15" t="n">
        <f aca="false">IF(AND($A92&gt;$B$100,O92&gt;=0),1,0)</f>
        <v>1</v>
      </c>
    </row>
    <row r="93" customFormat="false" ht="15" hidden="false" customHeight="false" outlineLevel="0" collapsed="false">
      <c r="A93" s="15" t="n">
        <v>89</v>
      </c>
      <c r="B93" s="12" t="n">
        <f aca="false">IF($A93&lt;=Premissas!$B$7,-Premissas!$B$6,0)</f>
        <v>0</v>
      </c>
      <c r="C93" s="12" t="n">
        <f aca="false">-(IF($A93&lt;=Premissas!$B$7,Unitário!$B$26*Premissas!$B$10,0)+(D93+E93)*Premissas!$B$11)</f>
        <v>-0</v>
      </c>
      <c r="D93" s="27" t="n">
        <f aca="false">IF($A93&lt;=Premissas!$B$7,Unitário!$B$27*Premissas!$B$13,0)</f>
        <v>0</v>
      </c>
      <c r="E93" s="27" t="n">
        <f aca="false">IF($A93&lt;=Premissas!$B$7,Unitário!$B$27*Premissas!$B$14,0)</f>
        <v>0</v>
      </c>
      <c r="F93" s="12" t="n">
        <f aca="false">-Premissas!$B$47*Unitário!$B$22*D93</f>
        <v>-0</v>
      </c>
      <c r="G93" s="12" t="n">
        <f aca="false">IF($A93-(Premissas!$B$42)&gt;=1,INDEX($D$5:$D$94,$A93-(Premissas!$B$42)),0)*(Premissas!$B$47*Unitário!$B$22*(Premissas!$B$16+Premissas!$B$17)-Premissas!$B$48*Unitário!$B$24)</f>
        <v>-0</v>
      </c>
      <c r="H93" s="12" t="n">
        <f aca="false">IF($A93-(Premissas!$B$42+Premissas!$B$43)&gt;=1,INDEX($D$5:$D$94,$A93-(Premissas!$B$42+Premissas!$B$43)),0)*(Unitário!$B$21*Premissas!$B$39-(1-Premissas!$B$48)*Unitário!$B$24-(1-Premissas!$B$47)*Unitário!$B$21*Unitário!$B$22)</f>
        <v>0</v>
      </c>
      <c r="I93" s="12" t="n">
        <f aca="false">IF($A93-(Premissas!$B$44)&gt;=1,INDEX($E$5:$E$94,$A93-(Premissas!$B$44)),0)*(Premissas!$B$40-Unitário!$B$25)</f>
        <v>0</v>
      </c>
      <c r="J93" s="12" t="n">
        <f aca="false">E93*(-Premissas!$B$47*Unitário!$B$22-(1-Premissas!$B$17)*Premissas!$B$21)</f>
        <v>-0</v>
      </c>
      <c r="K93" s="12" t="n">
        <f aca="false">IF($A93-(Premissas!$B$45)&gt;=1,INDEX($E$5:$E$94,$A93-(Premissas!$B$45)),0)*Premissas!$B$17*(-Premissas!$B$40-Premissas!$B$29+Premissas!$B$47*Unitário!$B$22)</f>
        <v>-0</v>
      </c>
      <c r="L93" s="12" t="n">
        <f aca="false">-Premissas!$B$30*(IF($A93-(Premissas!$B$42+Premissas!$B$43)&gt;=1,INDEX($D$5:$D$94,$A93-(Premissas!$B$42+Premissas!$B$43)),0)*Unitário!$B$21*Premissas!$B$39+IF($A93-(Premissas!$B$44)&gt;=1,INDEX($E$5:$E$94,$A93-(Premissas!$B$44)),0)*(1-Premissas!$B$17)*Premissas!$B$40)</f>
        <v>-0</v>
      </c>
      <c r="M93" s="12" t="n">
        <f aca="false">-Premissas!$B$31</f>
        <v>-0</v>
      </c>
      <c r="N93" s="12" t="n">
        <f aca="false">B93+C93+F93+G93+H93+I93+J93+K93+L93+M93</f>
        <v>0</v>
      </c>
      <c r="O93" s="12" t="n">
        <f aca="false">O92+N93</f>
        <v>19118.703504</v>
      </c>
      <c r="P93" s="15" t="n">
        <f aca="false">IF(AND($A93&gt;$B$100,O93&gt;=0),1,0)</f>
        <v>1</v>
      </c>
    </row>
    <row r="94" customFormat="false" ht="15" hidden="false" customHeight="false" outlineLevel="0" collapsed="false">
      <c r="A94" s="15" t="n">
        <v>90</v>
      </c>
      <c r="B94" s="12" t="n">
        <f aca="false">IF($A94&lt;=Premissas!$B$7,-Premissas!$B$6,0)</f>
        <v>0</v>
      </c>
      <c r="C94" s="12" t="n">
        <f aca="false">-(IF($A94&lt;=Premissas!$B$7,Unitário!$B$26*Premissas!$B$10,0)+(D94+E94)*Premissas!$B$11)</f>
        <v>-0</v>
      </c>
      <c r="D94" s="27" t="n">
        <f aca="false">IF($A94&lt;=Premissas!$B$7,Unitário!$B$27*Premissas!$B$13,0)</f>
        <v>0</v>
      </c>
      <c r="E94" s="27" t="n">
        <f aca="false">IF($A94&lt;=Premissas!$B$7,Unitário!$B$27*Premissas!$B$14,0)</f>
        <v>0</v>
      </c>
      <c r="F94" s="12" t="n">
        <f aca="false">-Premissas!$B$47*Unitário!$B$22*D94</f>
        <v>-0</v>
      </c>
      <c r="G94" s="12" t="n">
        <f aca="false">IF($A94-(Premissas!$B$42)&gt;=1,INDEX($D$5:$D$94,$A94-(Premissas!$B$42)),0)*(Premissas!$B$47*Unitário!$B$22*(Premissas!$B$16+Premissas!$B$17)-Premissas!$B$48*Unitário!$B$24)</f>
        <v>-0</v>
      </c>
      <c r="H94" s="12" t="n">
        <f aca="false">IF($A94-(Premissas!$B$42+Premissas!$B$43)&gt;=1,INDEX($D$5:$D$94,$A94-(Premissas!$B$42+Premissas!$B$43)),0)*(Unitário!$B$21*Premissas!$B$39-(1-Premissas!$B$48)*Unitário!$B$24-(1-Premissas!$B$47)*Unitário!$B$21*Unitário!$B$22)</f>
        <v>0</v>
      </c>
      <c r="I94" s="12" t="n">
        <f aca="false">IF($A94-(Premissas!$B$44)&gt;=1,INDEX($E$5:$E$94,$A94-(Premissas!$B$44)),0)*(Premissas!$B$40-Unitário!$B$25)</f>
        <v>0</v>
      </c>
      <c r="J94" s="12" t="n">
        <f aca="false">E94*(-Premissas!$B$47*Unitário!$B$22-(1-Premissas!$B$17)*Premissas!$B$21)</f>
        <v>-0</v>
      </c>
      <c r="K94" s="12" t="n">
        <f aca="false">IF($A94-(Premissas!$B$45)&gt;=1,INDEX($E$5:$E$94,$A94-(Premissas!$B$45)),0)*Premissas!$B$17*(-Premissas!$B$40-Premissas!$B$29+Premissas!$B$47*Unitário!$B$22)</f>
        <v>-0</v>
      </c>
      <c r="L94" s="12" t="n">
        <f aca="false">-Premissas!$B$30*(IF($A94-(Premissas!$B$42+Premissas!$B$43)&gt;=1,INDEX($D$5:$D$94,$A94-(Premissas!$B$42+Premissas!$B$43)),0)*Unitário!$B$21*Premissas!$B$39+IF($A94-(Premissas!$B$44)&gt;=1,INDEX($E$5:$E$94,$A94-(Premissas!$B$44)),0)*(1-Premissas!$B$17)*Premissas!$B$40)</f>
        <v>-0</v>
      </c>
      <c r="M94" s="12" t="n">
        <f aca="false">-Premissas!$B$31</f>
        <v>-0</v>
      </c>
      <c r="N94" s="12" t="n">
        <f aca="false">B94+C94+F94+G94+H94+I94+J94+K94+L94+M94</f>
        <v>0</v>
      </c>
      <c r="O94" s="12" t="n">
        <f aca="false">O93+N94</f>
        <v>19118.703504</v>
      </c>
      <c r="P94" s="15" t="n">
        <f aca="false">IF(AND($A94&gt;$B$100,O94&gt;=0),1,0)</f>
        <v>1</v>
      </c>
    </row>
    <row r="95" customFormat="false" ht="15" hidden="false" customHeight="false" outlineLevel="0" collapsed="false">
      <c r="A95" s="13" t="s">
        <v>181</v>
      </c>
      <c r="B95" s="14" t="n">
        <f aca="false">SUM(B5:B94)</f>
        <v>-9000</v>
      </c>
      <c r="C95" s="14" t="n">
        <f aca="false">SUM(C5:C94)</f>
        <v>-1644</v>
      </c>
      <c r="D95" s="28" t="n">
        <f aca="false">SUM(D5:D94)</f>
        <v>420</v>
      </c>
      <c r="E95" s="28" t="n">
        <f aca="false">SUM(E5:E94)</f>
        <v>180</v>
      </c>
      <c r="F95" s="14" t="n">
        <f aca="false">SUM(F5:F94)</f>
        <v>-12600</v>
      </c>
      <c r="G95" s="14" t="n">
        <f aca="false">SUM(G5:G94)</f>
        <v>-9567.519066</v>
      </c>
      <c r="H95" s="14" t="n">
        <f aca="false">SUM(H5:H94)</f>
        <v>39827.34</v>
      </c>
      <c r="I95" s="14" t="n">
        <f aca="false">SUM(I5:I94)</f>
        <v>20325.64257</v>
      </c>
      <c r="J95" s="14" t="n">
        <f aca="false">SUM(J5:J94)</f>
        <v>-6208.38</v>
      </c>
      <c r="K95" s="14" t="n">
        <f aca="false">SUM(K5:K94)</f>
        <v>-2014.38</v>
      </c>
      <c r="L95" s="14" t="n">
        <f aca="false">SUM(L5:L94)</f>
        <v>0</v>
      </c>
      <c r="M95" s="14" t="n">
        <f aca="false">SUM(M5:M94)</f>
        <v>0</v>
      </c>
      <c r="N95" s="14" t="n">
        <f aca="false">SUM(N5:N94)</f>
        <v>19118.703504</v>
      </c>
    </row>
    <row r="99" customFormat="false" ht="15" hidden="false" customHeight="false" outlineLevel="0" collapsed="false">
      <c r="A99" s="13" t="s">
        <v>182</v>
      </c>
      <c r="B99" s="14" t="n">
        <f aca="false">MIN(O5:O94)</f>
        <v>-9936.7495268</v>
      </c>
    </row>
    <row r="100" customFormat="false" ht="15" hidden="false" customHeight="false" outlineLevel="0" collapsed="false">
      <c r="A100" s="13" t="s">
        <v>183</v>
      </c>
      <c r="B100" s="29" t="n">
        <f aca="false">INDEX(A5:A94,MATCH(B99,O5:O94,0))</f>
        <v>16</v>
      </c>
    </row>
    <row r="101" customFormat="false" ht="15" hidden="false" customHeight="false" outlineLevel="0" collapsed="false">
      <c r="A101" s="13" t="s">
        <v>184</v>
      </c>
      <c r="B101" s="29" t="n">
        <f aca="false">IFERROR(INDEX(A5:A94,MATCH(1,P5:P94,0)),"não volta em 90 dias")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4" min="4" style="0" width="4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185</v>
      </c>
    </row>
    <row r="3" customFormat="false" ht="15" hidden="false" customHeight="false" outlineLevel="0" collapsed="false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customFormat="false" ht="23.85" hidden="false" customHeight="false" outlineLevel="0" collapsed="false">
      <c r="A4" s="30" t="n">
        <v>1</v>
      </c>
      <c r="B4" s="30" t="s">
        <v>191</v>
      </c>
      <c r="C4" s="30" t="s">
        <v>192</v>
      </c>
      <c r="D4" s="30" t="s">
        <v>193</v>
      </c>
      <c r="E4" s="31"/>
    </row>
    <row r="5" customFormat="false" ht="23.85" hidden="false" customHeight="false" outlineLevel="0" collapsed="false">
      <c r="A5" s="30" t="n">
        <v>2</v>
      </c>
      <c r="B5" s="30" t="s">
        <v>194</v>
      </c>
      <c r="C5" s="30" t="s">
        <v>195</v>
      </c>
      <c r="D5" s="30" t="s">
        <v>196</v>
      </c>
      <c r="E5" s="31"/>
    </row>
    <row r="6" customFormat="false" ht="23.85" hidden="false" customHeight="false" outlineLevel="0" collapsed="false">
      <c r="A6" s="30" t="n">
        <v>3</v>
      </c>
      <c r="B6" s="30" t="s">
        <v>197</v>
      </c>
      <c r="C6" s="30" t="s">
        <v>198</v>
      </c>
      <c r="D6" s="30" t="s">
        <v>199</v>
      </c>
      <c r="E6" s="31"/>
    </row>
    <row r="7" customFormat="false" ht="23.85" hidden="false" customHeight="false" outlineLevel="0" collapsed="false">
      <c r="A7" s="30" t="n">
        <v>4</v>
      </c>
      <c r="B7" s="30" t="s">
        <v>200</v>
      </c>
      <c r="C7" s="30" t="s">
        <v>201</v>
      </c>
      <c r="D7" s="30" t="s">
        <v>202</v>
      </c>
      <c r="E7" s="31"/>
    </row>
    <row r="8" customFormat="false" ht="23.85" hidden="false" customHeight="false" outlineLevel="0" collapsed="false">
      <c r="A8" s="30" t="n">
        <v>5</v>
      </c>
      <c r="B8" s="30" t="s">
        <v>203</v>
      </c>
      <c r="C8" s="30" t="s">
        <v>204</v>
      </c>
      <c r="D8" s="30" t="s">
        <v>205</v>
      </c>
      <c r="E8" s="31"/>
    </row>
    <row r="9" customFormat="false" ht="23.85" hidden="false" customHeight="false" outlineLevel="0" collapsed="false">
      <c r="A9" s="30" t="n">
        <v>6</v>
      </c>
      <c r="B9" s="30" t="s">
        <v>206</v>
      </c>
      <c r="C9" s="30" t="s">
        <v>207</v>
      </c>
      <c r="D9" s="30" t="s">
        <v>208</v>
      </c>
      <c r="E9" s="31"/>
    </row>
    <row r="10" customFormat="false" ht="15" hidden="false" customHeight="false" outlineLevel="0" collapsed="false">
      <c r="A10" s="30" t="n">
        <v>7</v>
      </c>
      <c r="B10" s="30" t="s">
        <v>209</v>
      </c>
      <c r="C10" s="30" t="s">
        <v>210</v>
      </c>
      <c r="D10" s="30" t="s">
        <v>211</v>
      </c>
      <c r="E10" s="31"/>
    </row>
    <row r="11" customFormat="false" ht="23.85" hidden="false" customHeight="false" outlineLevel="0" collapsed="false">
      <c r="A11" s="30" t="n">
        <v>8</v>
      </c>
      <c r="B11" s="30" t="s">
        <v>212</v>
      </c>
      <c r="C11" s="30" t="s">
        <v>213</v>
      </c>
      <c r="D11" s="30" t="s">
        <v>214</v>
      </c>
      <c r="E11" s="31"/>
    </row>
    <row r="12" customFormat="false" ht="23.85" hidden="false" customHeight="false" outlineLevel="0" collapsed="false">
      <c r="A12" s="30" t="n">
        <v>9</v>
      </c>
      <c r="B12" s="30" t="s">
        <v>215</v>
      </c>
      <c r="C12" s="30" t="s">
        <v>216</v>
      </c>
      <c r="D12" s="30" t="s">
        <v>217</v>
      </c>
      <c r="E12" s="31"/>
    </row>
    <row r="13" customFormat="false" ht="23.85" hidden="false" customHeight="false" outlineLevel="0" collapsed="false">
      <c r="A13" s="30" t="n">
        <v>10</v>
      </c>
      <c r="B13" s="30" t="s">
        <v>218</v>
      </c>
      <c r="C13" s="30" t="s">
        <v>219</v>
      </c>
      <c r="D13" s="30" t="s">
        <v>220</v>
      </c>
      <c r="E13" s="31"/>
    </row>
    <row r="14" customFormat="false" ht="23.85" hidden="false" customHeight="false" outlineLevel="0" collapsed="false">
      <c r="A14" s="30" t="n">
        <v>11</v>
      </c>
      <c r="B14" s="30" t="s">
        <v>221</v>
      </c>
      <c r="C14" s="30" t="s">
        <v>222</v>
      </c>
      <c r="D14" s="30" t="s">
        <v>223</v>
      </c>
      <c r="E14" s="31"/>
    </row>
    <row r="15" customFormat="false" ht="23.85" hidden="false" customHeight="false" outlineLevel="0" collapsed="false">
      <c r="A15" s="30" t="n">
        <v>12</v>
      </c>
      <c r="B15" s="30" t="s">
        <v>224</v>
      </c>
      <c r="C15" s="30" t="s">
        <v>225</v>
      </c>
      <c r="D15" s="30" t="s">
        <v>226</v>
      </c>
      <c r="E15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2026-10-09T13:42:28Z</dcterms:created>
  <dc:creator>openpyxl</dc:creator>
  <dc:description/>
  <dc:language>en-US</dc:language>
  <cp:lastModifiedBy/>
  <dcterms:modified xsi:type="dcterms:W3CDTF">2026-10-09T13:42:28Z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